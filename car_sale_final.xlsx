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Excel project\"/>
    </mc:Choice>
  </mc:AlternateContent>
  <xr:revisionPtr revIDLastSave="0" documentId="13_ncr:1_{F1A13749-1A5B-402A-B6A1-30D0AF8BE17C}" xr6:coauthVersionLast="47" xr6:coauthVersionMax="47" xr10:uidLastSave="{00000000-0000-0000-0000-000000000000}"/>
  <bookViews>
    <workbookView xWindow="-108" yWindow="-108" windowWidth="23256" windowHeight="12576" tabRatio="661" activeTab="1" xr2:uid="{E4FAC7D7-1B6D-44B2-B348-EBAFC05AFAA3}"/>
  </bookViews>
  <sheets>
    <sheet name="Data_Sheet" sheetId="1" r:id="rId1"/>
    <sheet name="Dashboard" sheetId="11" r:id="rId2"/>
    <sheet name="Sale_analysis" sheetId="2" r:id="rId3"/>
    <sheet name="City_category" sheetId="6" r:id="rId4"/>
    <sheet name="Model wise Analysis" sheetId="3" r:id="rId5"/>
    <sheet name="city_wise_analysis" sheetId="7" r:id="rId6"/>
    <sheet name="Delivered pivot" sheetId="12" r:id="rId7"/>
    <sheet name="Sale_Report_Delivered" sheetId="8" r:id="rId8"/>
    <sheet name="Sheet1" sheetId="13" r:id="rId9"/>
  </sheets>
  <definedNames>
    <definedName name="_xlcn.WorksheetConnection_car_sale1.xlsxTable21" hidden="1">Table2[]</definedName>
    <definedName name="_xlcn.WorksheetConnection_car_sale1.xlsxTable31" hidden="1">Table3[]</definedName>
    <definedName name="Slicer_Model_Name1">#N/A</definedName>
    <definedName name="Slicer_Model_Name2">#N/A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car_sale (1).xlsx!Table3"/>
          <x15:modelTable id="Table2" name="Table2" connection="WorksheetConnection_car_sale (1).xlsx!Table2"/>
        </x15:modelTables>
      </x15:dataModel>
    </ext>
  </extLst>
</workbook>
</file>

<file path=xl/calcChain.xml><?xml version="1.0" encoding="utf-8"?>
<calcChain xmlns="http://schemas.openxmlformats.org/spreadsheetml/2006/main">
  <c r="L15" i="11" l="1"/>
  <c r="L14" i="11"/>
  <c r="L13" i="11"/>
  <c r="L12" i="11"/>
  <c r="G13" i="11"/>
  <c r="G14" i="11"/>
  <c r="G12" i="11"/>
  <c r="D15" i="11"/>
  <c r="D13" i="11"/>
  <c r="D14" i="11"/>
  <c r="D12" i="11"/>
  <c r="C14" i="11"/>
  <c r="C13" i="11"/>
  <c r="C12" i="11"/>
  <c r="C15" i="11"/>
  <c r="D6" i="11"/>
  <c r="F6" i="11"/>
  <c r="H6" i="11"/>
  <c r="J6" i="11"/>
  <c r="L6" i="11"/>
  <c r="C9" i="11"/>
  <c r="G9" i="11"/>
  <c r="K9" i="11"/>
  <c r="N9" i="11"/>
  <c r="Q9" i="11"/>
  <c r="D4" i="7"/>
  <c r="C4" i="7"/>
  <c r="B4" i="7"/>
  <c r="D3" i="7"/>
  <c r="C3" i="7"/>
  <c r="B3" i="7"/>
  <c r="D2" i="7"/>
  <c r="C2" i="7"/>
  <c r="B2" i="7"/>
  <c r="D51" i="3"/>
  <c r="C51" i="3"/>
  <c r="B51" i="3"/>
  <c r="D50" i="3"/>
  <c r="C50" i="3"/>
  <c r="B50" i="3"/>
  <c r="D49" i="3"/>
  <c r="C49" i="3"/>
  <c r="B49" i="3"/>
  <c r="D48" i="3"/>
  <c r="C48" i="3"/>
  <c r="B48" i="3"/>
  <c r="D47" i="3"/>
  <c r="C47" i="3"/>
  <c r="B47" i="3"/>
  <c r="D46" i="3"/>
  <c r="C46" i="3"/>
  <c r="B46" i="3"/>
  <c r="D45" i="3"/>
  <c r="C45" i="3"/>
  <c r="B45" i="3"/>
  <c r="D44" i="3"/>
  <c r="C44" i="3"/>
  <c r="B44" i="3"/>
  <c r="D43" i="3"/>
  <c r="C43" i="3"/>
  <c r="B43" i="3"/>
  <c r="D42" i="3"/>
  <c r="C42" i="3"/>
  <c r="B42" i="3"/>
  <c r="D41" i="3"/>
  <c r="C41" i="3"/>
  <c r="B41" i="3"/>
  <c r="D40" i="3"/>
  <c r="C40" i="3"/>
  <c r="B40" i="3"/>
  <c r="D39" i="3"/>
  <c r="C39" i="3"/>
  <c r="B39" i="3"/>
  <c r="D38" i="3"/>
  <c r="C38" i="3"/>
  <c r="B38" i="3"/>
  <c r="D37" i="3"/>
  <c r="C37" i="3"/>
  <c r="B37" i="3"/>
  <c r="D36" i="3"/>
  <c r="C36" i="3"/>
  <c r="B36" i="3"/>
  <c r="D35" i="3"/>
  <c r="C35" i="3"/>
  <c r="B35" i="3"/>
  <c r="D34" i="3"/>
  <c r="C34" i="3"/>
  <c r="B34" i="3"/>
  <c r="D33" i="3"/>
  <c r="C33" i="3"/>
  <c r="B33" i="3"/>
  <c r="D32" i="3"/>
  <c r="C32" i="3"/>
  <c r="B32" i="3"/>
  <c r="D31" i="3"/>
  <c r="C31" i="3"/>
  <c r="B31" i="3"/>
  <c r="D30" i="3"/>
  <c r="C30" i="3"/>
  <c r="B30" i="3"/>
  <c r="D29" i="3"/>
  <c r="C29" i="3"/>
  <c r="B29" i="3"/>
  <c r="D28" i="3"/>
  <c r="C28" i="3"/>
  <c r="B28" i="3"/>
  <c r="D27" i="3"/>
  <c r="C27" i="3"/>
  <c r="B27" i="3"/>
  <c r="D26" i="3"/>
  <c r="C26" i="3"/>
  <c r="B26" i="3"/>
  <c r="D25" i="3"/>
  <c r="C25" i="3"/>
  <c r="B25" i="3"/>
  <c r="D24" i="3"/>
  <c r="C24" i="3"/>
  <c r="B24" i="3"/>
  <c r="D23" i="3"/>
  <c r="C23" i="3"/>
  <c r="B23" i="3"/>
  <c r="D22" i="3"/>
  <c r="C22" i="3"/>
  <c r="B22" i="3"/>
  <c r="D21" i="3"/>
  <c r="C21" i="3"/>
  <c r="B21" i="3"/>
  <c r="D20" i="3"/>
  <c r="C20" i="3"/>
  <c r="B20" i="3"/>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D4" i="3"/>
  <c r="C4" i="3"/>
  <c r="B4" i="3"/>
  <c r="D3" i="3"/>
  <c r="C3" i="3"/>
  <c r="B3" i="3"/>
  <c r="D2" i="3"/>
  <c r="C2" i="3"/>
  <c r="B2" i="3"/>
  <c r="B2" i="2"/>
  <c r="B66" i="1"/>
  <c r="C65" i="1"/>
  <c r="D64" i="1"/>
  <c r="E63" i="1"/>
  <c r="H60" i="1"/>
  <c r="D57" i="1"/>
  <c r="C57" i="1"/>
  <c r="B57" i="1"/>
  <c r="A57" i="1"/>
  <c r="F55" i="1"/>
  <c r="E55" i="1"/>
  <c r="D55" i="1"/>
  <c r="C55" i="1"/>
  <c r="B55" i="1"/>
  <c r="G15"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862862-5223-4548-89A5-AE9243DB99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A69D0D-7F72-4200-B2C8-63ED7EE47FEB}" name="WorksheetConnection_car_sale (1).xlsx!Table2" type="102" refreshedVersion="8" minRefreshableVersion="5">
    <extLst>
      <ext xmlns:x15="http://schemas.microsoft.com/office/spreadsheetml/2010/11/main" uri="{DE250136-89BD-433C-8126-D09CA5730AF9}">
        <x15:connection id="Table2" autoDelete="1">
          <x15:rangePr sourceName="_xlcn.WorksheetConnection_car_sale1.xlsxTable21"/>
        </x15:connection>
      </ext>
    </extLst>
  </connection>
  <connection id="3" xr16:uid="{AFAA3D29-84FA-4AF9-9D6D-C32452AAFBF1}" name="WorksheetConnection_car_sale (1).xlsx!Table3" type="102" refreshedVersion="8" minRefreshableVersion="5">
    <extLst>
      <ext xmlns:x15="http://schemas.microsoft.com/office/spreadsheetml/2010/11/main" uri="{DE250136-89BD-433C-8126-D09CA5730AF9}">
        <x15:connection id="Table3" autoDelete="1">
          <x15:rangePr sourceName="_xlcn.WorksheetConnection_car_sale1.xlsxTable31"/>
        </x15:connection>
      </ext>
    </extLst>
  </connection>
</connections>
</file>

<file path=xl/sharedStrings.xml><?xml version="1.0" encoding="utf-8"?>
<sst xmlns="http://schemas.openxmlformats.org/spreadsheetml/2006/main" count="603" uniqueCount="144">
  <si>
    <t>Product_ID</t>
  </si>
  <si>
    <t>City_Category</t>
  </si>
  <si>
    <t>Batch</t>
  </si>
  <si>
    <t>Model Name</t>
  </si>
  <si>
    <t>Delivery Status</t>
  </si>
  <si>
    <t>Product Cost</t>
  </si>
  <si>
    <t>Taxation &amp; Delivery Cost</t>
  </si>
  <si>
    <t>Final Price</t>
  </si>
  <si>
    <t>TATA001</t>
  </si>
  <si>
    <t>Metro</t>
  </si>
  <si>
    <t>B001</t>
  </si>
  <si>
    <t>Tata Nexon</t>
  </si>
  <si>
    <t>Delivered</t>
  </si>
  <si>
    <t>TATA002</t>
  </si>
  <si>
    <t>Tier 1</t>
  </si>
  <si>
    <t>Tata Punch</t>
  </si>
  <si>
    <t>TATA003</t>
  </si>
  <si>
    <t>Tier 2</t>
  </si>
  <si>
    <t>B002</t>
  </si>
  <si>
    <t>Tata Tiago</t>
  </si>
  <si>
    <t>TATA004</t>
  </si>
  <si>
    <t>Tata Harrier</t>
  </si>
  <si>
    <t>TATA005</t>
  </si>
  <si>
    <t>B003</t>
  </si>
  <si>
    <t>Tata Safari</t>
  </si>
  <si>
    <t>Pending</t>
  </si>
  <si>
    <t>TATA006</t>
  </si>
  <si>
    <t>Tata Altroz</t>
  </si>
  <si>
    <t>TATA007</t>
  </si>
  <si>
    <t>B004</t>
  </si>
  <si>
    <t>Tata Tigor</t>
  </si>
  <si>
    <t>TATA008</t>
  </si>
  <si>
    <t>Tata Curvv</t>
  </si>
  <si>
    <t>TATA009</t>
  </si>
  <si>
    <t>B005</t>
  </si>
  <si>
    <t>Tata Nexon EV</t>
  </si>
  <si>
    <t>TATA010</t>
  </si>
  <si>
    <t>Tata Punch EV</t>
  </si>
  <si>
    <t>In Transit</t>
  </si>
  <si>
    <t>TATA011</t>
  </si>
  <si>
    <t>B006</t>
  </si>
  <si>
    <t>Tata Tiago EV</t>
  </si>
  <si>
    <t>TATA012</t>
  </si>
  <si>
    <t>TATA013</t>
  </si>
  <si>
    <t>B007</t>
  </si>
  <si>
    <t>TATA014</t>
  </si>
  <si>
    <t>TATA015</t>
  </si>
  <si>
    <t>B008</t>
  </si>
  <si>
    <t>TATA016</t>
  </si>
  <si>
    <t>TATA017</t>
  </si>
  <si>
    <t>B009</t>
  </si>
  <si>
    <t>TATA018</t>
  </si>
  <si>
    <t>TATA019</t>
  </si>
  <si>
    <t>B010</t>
  </si>
  <si>
    <t>TATA020</t>
  </si>
  <si>
    <t>TATA021</t>
  </si>
  <si>
    <t>B011</t>
  </si>
  <si>
    <t>TATA022</t>
  </si>
  <si>
    <t>TATA023</t>
  </si>
  <si>
    <t>B012</t>
  </si>
  <si>
    <t>TATA024</t>
  </si>
  <si>
    <t>TATA025</t>
  </si>
  <si>
    <t>B013</t>
  </si>
  <si>
    <t>TATA026</t>
  </si>
  <si>
    <t>TATA027</t>
  </si>
  <si>
    <t>B014</t>
  </si>
  <si>
    <t>TATA028</t>
  </si>
  <si>
    <t>TATA029</t>
  </si>
  <si>
    <t>B015</t>
  </si>
  <si>
    <t>TATA030</t>
  </si>
  <si>
    <t>TATA031</t>
  </si>
  <si>
    <t>B016</t>
  </si>
  <si>
    <t>TATA032</t>
  </si>
  <si>
    <t>TATA033</t>
  </si>
  <si>
    <t>B017</t>
  </si>
  <si>
    <t>TATA034</t>
  </si>
  <si>
    <t>TATA035</t>
  </si>
  <si>
    <t>B018</t>
  </si>
  <si>
    <t>TATA036</t>
  </si>
  <si>
    <t>TATA037</t>
  </si>
  <si>
    <t>B019</t>
  </si>
  <si>
    <t>TATA038</t>
  </si>
  <si>
    <t>TATA039</t>
  </si>
  <si>
    <t>B020</t>
  </si>
  <si>
    <t>TATA040</t>
  </si>
  <si>
    <t>TATA041</t>
  </si>
  <si>
    <t>B021</t>
  </si>
  <si>
    <t>TATA042</t>
  </si>
  <si>
    <t>TATA043</t>
  </si>
  <si>
    <t>B022</t>
  </si>
  <si>
    <t>TATA044</t>
  </si>
  <si>
    <t>TATA045</t>
  </si>
  <si>
    <t>B023</t>
  </si>
  <si>
    <t>TATA046</t>
  </si>
  <si>
    <t>TATA047</t>
  </si>
  <si>
    <t>B024</t>
  </si>
  <si>
    <t>TATA048</t>
  </si>
  <si>
    <t>TATA049</t>
  </si>
  <si>
    <t>B025</t>
  </si>
  <si>
    <t>TATA050</t>
  </si>
  <si>
    <t>SL No.</t>
  </si>
  <si>
    <t>Total generated revenue</t>
  </si>
  <si>
    <t>Product Status</t>
  </si>
  <si>
    <t>Total Count</t>
  </si>
  <si>
    <t>Estimated P&amp;L</t>
  </si>
  <si>
    <t xml:space="preserve">Model </t>
  </si>
  <si>
    <t>Row Labels</t>
  </si>
  <si>
    <t>Grand Total</t>
  </si>
  <si>
    <t>Unrealised P&amp;L</t>
  </si>
  <si>
    <t>Realised P&amp;L</t>
  </si>
  <si>
    <t>Column Labels</t>
  </si>
  <si>
    <t>Sum of Product Cost</t>
  </si>
  <si>
    <t>City</t>
  </si>
  <si>
    <t>Cars Sold</t>
  </si>
  <si>
    <t>Total Sales</t>
  </si>
  <si>
    <t>Average Sale Price</t>
  </si>
  <si>
    <t>Count of Delivery Status</t>
  </si>
  <si>
    <t>Sum of Cars Sold</t>
  </si>
  <si>
    <t>Column1</t>
  </si>
  <si>
    <t xml:space="preserve">Total </t>
  </si>
  <si>
    <t>Production cost</t>
  </si>
  <si>
    <t>delivery and tax</t>
  </si>
  <si>
    <t>total price</t>
  </si>
  <si>
    <t>estimated profit</t>
  </si>
  <si>
    <t>total cost</t>
  </si>
  <si>
    <t>Final Cost</t>
  </si>
  <si>
    <t>On Road Price</t>
  </si>
  <si>
    <t xml:space="preserve"> </t>
  </si>
  <si>
    <t xml:space="preserve">Total generated revenue : </t>
  </si>
  <si>
    <t xml:space="preserve">Unrealised P&amp;L : </t>
  </si>
  <si>
    <t>Sum of Taxation &amp; Delivery Cost</t>
  </si>
  <si>
    <t>Units Sold</t>
  </si>
  <si>
    <t>Total Revenue</t>
  </si>
  <si>
    <t>Avg Sale Price</t>
  </si>
  <si>
    <t>Total Product Cost</t>
  </si>
  <si>
    <t>Tax &amp; Delivery Cost</t>
  </si>
  <si>
    <t>Select Car Model:</t>
  </si>
  <si>
    <t>City Category</t>
  </si>
  <si>
    <t>Avarage Sale Price</t>
  </si>
  <si>
    <t>Count</t>
  </si>
  <si>
    <t>Total</t>
  </si>
  <si>
    <t>Realised P&amp;L :</t>
  </si>
  <si>
    <t>Estimated P&amp;L :</t>
  </si>
  <si>
    <t>Total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</si>
</sst>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5" formatCode="&quot;₹&quot;\ #,##0;&quot;₹&quot;\ \-#,##0"/>
    <numFmt numFmtId="164" formatCode="_ [$₹-4009]\ * #,##0.00_ ;_ [$₹-4009]\ * \-#,##0.00_ ;_ [$₹-4009]\ * &quot;-&quot;??_ ;_ @_ "/>
  </numFmts>
  <fonts count="29" x14ac:knownFonts="1">
    <font>
      <sz val="11"/>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sz val="28"/>
      <color theme="1"/>
      <name val="Calibri"/>
      <family val="2"/>
      <scheme val="minor"/>
    </font>
    <font>
      <b/>
      <sz val="20"/>
      <color theme="1"/>
      <name val="Calibri"/>
      <family val="2"/>
      <scheme val="minor"/>
    </font>
    <font>
      <b/>
      <sz val="18"/>
      <color theme="1"/>
      <name val="Calibri"/>
      <family val="2"/>
      <scheme val="minor"/>
    </font>
    <font>
      <b/>
      <sz val="14"/>
      <color theme="1"/>
      <name val="Calibri"/>
      <family val="2"/>
      <scheme val="minor"/>
    </font>
    <font>
      <b/>
      <sz val="12"/>
      <color theme="0"/>
      <name val="Calibri"/>
      <family val="2"/>
      <scheme val="minor"/>
    </font>
    <font>
      <b/>
      <sz val="18"/>
      <color theme="2" tint="-0.89999084444715716"/>
      <name val="Calibri"/>
      <family val="2"/>
      <scheme val="minor"/>
    </font>
    <font>
      <sz val="18"/>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4"/>
      <color rgb="FF002060"/>
      <name val="Calibri"/>
      <family val="2"/>
      <scheme val="minor"/>
    </font>
    <font>
      <b/>
      <sz val="16"/>
      <color rgb="FF002060"/>
      <name val="Calibri"/>
      <family val="2"/>
      <scheme val="minor"/>
    </font>
    <font>
      <sz val="26"/>
      <color theme="1"/>
      <name val="Calibri"/>
      <family val="2"/>
      <scheme val="minor"/>
    </font>
    <font>
      <sz val="26"/>
      <color rgb="FF0070C0"/>
      <name val="Arial Black"/>
      <family val="2"/>
    </font>
    <font>
      <b/>
      <sz val="16"/>
      <color theme="1"/>
      <name val="Bahnschrift Condensed"/>
      <family val="2"/>
    </font>
    <font>
      <b/>
      <sz val="18"/>
      <color rgb="FF1F2937"/>
      <name val="Bahnschrift SemiBold SemiConden"/>
      <family val="2"/>
    </font>
    <font>
      <sz val="12"/>
      <color rgb="FF18174D"/>
      <name val="Arial Black"/>
      <family val="2"/>
    </font>
    <font>
      <b/>
      <sz val="20"/>
      <color theme="0"/>
      <name val="Bahnschrift Condensed"/>
      <family val="2"/>
    </font>
    <font>
      <sz val="14"/>
      <color theme="1"/>
      <name val="Bahnschrift Condensed"/>
      <family val="2"/>
    </font>
    <font>
      <b/>
      <sz val="14"/>
      <color theme="1"/>
      <name val="Bahnschrift Condensed"/>
      <family val="2"/>
    </font>
    <font>
      <b/>
      <sz val="18"/>
      <color theme="0"/>
      <name val="Bahnschrift SemiBold SemiConden"/>
      <family val="2"/>
    </font>
    <font>
      <sz val="16"/>
      <color theme="1"/>
      <name val="Bahnschrift Condensed"/>
      <family val="2"/>
    </font>
    <font>
      <b/>
      <sz val="14"/>
      <color rgb="FF1F2937"/>
      <name val="Bahnschrift Condensed"/>
      <family val="2"/>
    </font>
    <font>
      <sz val="16"/>
      <color rgb="FF18174D"/>
      <name val="Arial Black"/>
      <family val="2"/>
    </font>
    <font>
      <b/>
      <sz val="18"/>
      <color theme="1"/>
      <name val="Bahnschrift Condensed"/>
      <family val="2"/>
    </font>
  </fonts>
  <fills count="19">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99FF"/>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rgb="FF002060"/>
        <bgColor rgb="FFFFFFFF"/>
      </patternFill>
    </fill>
    <fill>
      <patternFill patternType="solid">
        <fgColor theme="1" tint="0.34998626667073579"/>
        <bgColor indexed="64"/>
      </patternFill>
    </fill>
    <fill>
      <patternFill patternType="solid">
        <fgColor theme="5" tint="0.39997558519241921"/>
        <bgColor indexed="64"/>
      </patternFill>
    </fill>
    <fill>
      <patternFill patternType="solid">
        <fgColor rgb="FF002060"/>
        <bgColor indexed="64"/>
      </patternFill>
    </fill>
    <fill>
      <patternFill patternType="solid">
        <fgColor theme="8" tint="0.59999389629810485"/>
        <bgColor rgb="FF3162B9"/>
      </patternFill>
    </fill>
    <fill>
      <patternFill patternType="solid">
        <fgColor rgb="FFE5E7EB"/>
        <bgColor rgb="FFDAE3F3"/>
      </patternFill>
    </fill>
    <fill>
      <patternFill patternType="solid">
        <fgColor theme="7" tint="0.59999389629810485"/>
        <bgColor rgb="FF3162B9"/>
      </patternFill>
    </fill>
  </fills>
  <borders count="59">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0"/>
      </bottom>
      <diagonal/>
    </border>
    <border>
      <left/>
      <right/>
      <top style="thin">
        <color theme="4" tint="0.39997558519241921"/>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theme="4" tint="0.39997558519241921"/>
      </bottom>
      <diagonal/>
    </border>
    <border>
      <left/>
      <right/>
      <top style="thin">
        <color indexed="64"/>
      </top>
      <bottom/>
      <diagonal/>
    </border>
    <border>
      <left/>
      <right style="thin">
        <color indexed="64"/>
      </right>
      <top style="thin">
        <color indexed="64"/>
      </top>
      <bottom/>
      <diagonal/>
    </border>
    <border>
      <left style="thin">
        <color indexed="64"/>
      </left>
      <right/>
      <top style="thin">
        <color theme="4" tint="0.39997558519241921"/>
      </top>
      <bottom style="thin">
        <color theme="4" tint="0.39997558519241921"/>
      </bottom>
      <diagonal/>
    </border>
    <border>
      <left/>
      <right style="thin">
        <color indexed="64"/>
      </right>
      <top/>
      <bottom/>
      <diagonal/>
    </border>
    <border>
      <left style="thin">
        <color indexed="64"/>
      </left>
      <right/>
      <top style="thin">
        <color theme="4" tint="0.39997558519241921"/>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medium">
        <color indexed="64"/>
      </bottom>
      <diagonal/>
    </border>
    <border>
      <left style="thin">
        <color indexed="64"/>
      </left>
      <right/>
      <top style="thin">
        <color indexed="64"/>
      </top>
      <bottom/>
      <diagonal/>
    </border>
    <border>
      <left/>
      <right style="thin">
        <color theme="4" tint="0.39997558519241921"/>
      </right>
      <top style="thin">
        <color theme="4" tint="0.39997558519241921"/>
      </top>
      <bottom/>
      <diagonal/>
    </border>
    <border>
      <left style="medium">
        <color indexed="64"/>
      </left>
      <right/>
      <top style="thin">
        <color indexed="64"/>
      </top>
      <bottom/>
      <diagonal/>
    </border>
    <border>
      <left style="medium">
        <color indexed="64"/>
      </left>
      <right/>
      <top/>
      <bottom/>
      <diagonal/>
    </border>
    <border>
      <left/>
      <right style="thin">
        <color theme="0"/>
      </right>
      <top/>
      <bottom/>
      <diagonal/>
    </border>
    <border>
      <left/>
      <right style="thin">
        <color indexed="64"/>
      </right>
      <top style="thin">
        <color indexed="64"/>
      </top>
      <bottom style="thin">
        <color indexed="64"/>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ck">
        <color theme="1"/>
      </left>
      <right/>
      <top style="thick">
        <color theme="1"/>
      </top>
      <bottom style="thin">
        <color indexed="64"/>
      </bottom>
      <diagonal/>
    </border>
    <border>
      <left style="thick">
        <color theme="1"/>
      </left>
      <right/>
      <top style="thin">
        <color indexed="64"/>
      </top>
      <bottom style="thin">
        <color indexed="64"/>
      </bottom>
      <diagonal/>
    </border>
    <border>
      <left style="thin">
        <color indexed="64"/>
      </left>
      <right style="thick">
        <color theme="1"/>
      </right>
      <top style="thin">
        <color indexed="64"/>
      </top>
      <bottom style="thin">
        <color indexed="64"/>
      </bottom>
      <diagonal/>
    </border>
    <border>
      <left style="thick">
        <color theme="1"/>
      </left>
      <right/>
      <top style="thin">
        <color indexed="64"/>
      </top>
      <bottom style="thick">
        <color theme="1"/>
      </bottom>
      <diagonal/>
    </border>
    <border>
      <left/>
      <right style="thin">
        <color indexed="64"/>
      </right>
      <top style="thin">
        <color indexed="64"/>
      </top>
      <bottom style="thick">
        <color theme="1"/>
      </bottom>
      <diagonal/>
    </border>
    <border>
      <left style="thin">
        <color indexed="64"/>
      </left>
      <right style="thin">
        <color indexed="64"/>
      </right>
      <top style="thin">
        <color indexed="64"/>
      </top>
      <bottom style="thick">
        <color theme="1"/>
      </bottom>
      <diagonal/>
    </border>
    <border>
      <left style="thin">
        <color indexed="64"/>
      </left>
      <right/>
      <top style="thin">
        <color indexed="64"/>
      </top>
      <bottom style="thick">
        <color theme="1"/>
      </bottom>
      <diagonal/>
    </border>
    <border>
      <left/>
      <right/>
      <top style="thin">
        <color indexed="64"/>
      </top>
      <bottom style="thick">
        <color theme="1"/>
      </bottom>
      <diagonal/>
    </border>
    <border>
      <left style="thin">
        <color indexed="64"/>
      </left>
      <right style="thick">
        <color theme="1"/>
      </right>
      <top style="thin">
        <color indexed="64"/>
      </top>
      <bottom style="thick">
        <color theme="1"/>
      </bottom>
      <diagonal/>
    </border>
    <border>
      <left style="thin">
        <color indexed="64"/>
      </left>
      <right style="thin">
        <color indexed="64"/>
      </right>
      <top/>
      <bottom style="thin">
        <color indexed="64"/>
      </bottom>
      <diagonal/>
    </border>
    <border>
      <left style="thin">
        <color indexed="64"/>
      </left>
      <right style="thick">
        <color theme="1"/>
      </right>
      <top/>
      <bottom style="thin">
        <color indexed="64"/>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
      <left/>
      <right/>
      <top style="thick">
        <color theme="1"/>
      </top>
      <bottom style="thick">
        <color theme="1"/>
      </bottom>
      <diagonal/>
    </border>
    <border>
      <left style="thick">
        <color theme="1"/>
      </left>
      <right style="thick">
        <color theme="1"/>
      </right>
      <top style="thick">
        <color theme="1"/>
      </top>
      <bottom style="thin">
        <color indexed="64"/>
      </bottom>
      <diagonal/>
    </border>
    <border>
      <left/>
      <right style="thick">
        <color theme="1"/>
      </right>
      <top style="thick">
        <color theme="1"/>
      </top>
      <bottom style="thin">
        <color indexed="64"/>
      </bottom>
      <diagonal/>
    </border>
    <border>
      <left style="thick">
        <color theme="1"/>
      </left>
      <right style="thick">
        <color theme="1"/>
      </right>
      <top style="thin">
        <color indexed="64"/>
      </top>
      <bottom style="thin">
        <color indexed="64"/>
      </bottom>
      <diagonal/>
    </border>
    <border>
      <left/>
      <right style="thick">
        <color theme="1"/>
      </right>
      <top style="thin">
        <color indexed="64"/>
      </top>
      <bottom style="thin">
        <color indexed="64"/>
      </bottom>
      <diagonal/>
    </border>
    <border>
      <left style="thick">
        <color theme="1"/>
      </left>
      <right style="thin">
        <color indexed="64"/>
      </right>
      <top style="thin">
        <color indexed="64"/>
      </top>
      <bottom style="thin">
        <color indexed="64"/>
      </bottom>
      <diagonal/>
    </border>
    <border>
      <left style="thick">
        <color theme="1"/>
      </left>
      <right style="thin">
        <color indexed="64"/>
      </right>
      <top style="thin">
        <color indexed="64"/>
      </top>
      <bottom style="thick">
        <color theme="1"/>
      </bottom>
      <diagonal/>
    </border>
    <border>
      <left style="thick">
        <color theme="1"/>
      </left>
      <right style="thick">
        <color theme="1"/>
      </right>
      <top style="thin">
        <color indexed="64"/>
      </top>
      <bottom style="thick">
        <color theme="1"/>
      </bottom>
      <diagonal/>
    </border>
    <border>
      <left/>
      <right style="thick">
        <color theme="1"/>
      </right>
      <top style="thin">
        <color indexed="64"/>
      </top>
      <bottom style="thick">
        <color theme="1"/>
      </bottom>
      <diagonal/>
    </border>
    <border>
      <left style="thick">
        <color theme="1"/>
      </left>
      <right style="thick">
        <color theme="1"/>
      </right>
      <top style="thick">
        <color theme="1"/>
      </top>
      <bottom/>
      <diagonal/>
    </border>
  </borders>
  <cellStyleXfs count="1">
    <xf numFmtId="0" fontId="0" fillId="0" borderId="0"/>
  </cellStyleXfs>
  <cellXfs count="121">
    <xf numFmtId="0" fontId="0" fillId="0" borderId="0" xfId="0"/>
    <xf numFmtId="0" fontId="0" fillId="0" borderId="0" xfId="0" applyAlignment="1">
      <alignment horizontal="center" vertical="center" wrapText="1"/>
    </xf>
    <xf numFmtId="0" fontId="0" fillId="0" borderId="0" xfId="0" applyAlignment="1">
      <alignment horizontal="center"/>
    </xf>
    <xf numFmtId="0" fontId="1" fillId="0" borderId="0" xfId="0" applyFont="1" applyAlignment="1">
      <alignment horizontal="center" vertical="center" wrapText="1"/>
    </xf>
    <xf numFmtId="0" fontId="2" fillId="0" borderId="0" xfId="0" applyFont="1" applyAlignment="1">
      <alignment horizont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3" fillId="0" borderId="0" xfId="0" applyFont="1"/>
    <xf numFmtId="0" fontId="7" fillId="2" borderId="0" xfId="0" applyFont="1" applyFill="1"/>
    <xf numFmtId="0" fontId="0" fillId="0" borderId="0" xfId="0" pivotButton="1"/>
    <xf numFmtId="0" fontId="0" fillId="0" borderId="0" xfId="0" applyAlignment="1">
      <alignment horizontal="left"/>
    </xf>
    <xf numFmtId="0" fontId="7" fillId="2" borderId="1" xfId="0" applyFont="1" applyFill="1" applyBorder="1"/>
    <xf numFmtId="0" fontId="0" fillId="0" borderId="2" xfId="0" applyBorder="1" applyAlignment="1">
      <alignment horizontal="center" vertical="center" wrapText="1"/>
    </xf>
    <xf numFmtId="0" fontId="8" fillId="4" borderId="2" xfId="0" applyFont="1" applyFill="1" applyBorder="1" applyAlignment="1">
      <alignment horizontal="center" vertical="center" wrapText="1"/>
    </xf>
    <xf numFmtId="0" fontId="0" fillId="0" borderId="4" xfId="0" applyBorder="1"/>
    <xf numFmtId="0" fontId="0" fillId="3" borderId="2" xfId="0" applyFill="1" applyBorder="1" applyAlignment="1">
      <alignment horizontal="center" vertical="center" wrapText="1"/>
    </xf>
    <xf numFmtId="164" fontId="8" fillId="4" borderId="3" xfId="0" applyNumberFormat="1" applyFont="1" applyFill="1" applyBorder="1" applyAlignment="1">
      <alignment horizontal="center" vertical="center" wrapText="1"/>
    </xf>
    <xf numFmtId="164" fontId="0" fillId="3" borderId="3" xfId="0" applyNumberFormat="1" applyFill="1" applyBorder="1" applyAlignment="1">
      <alignment horizontal="center" vertical="center" wrapText="1"/>
    </xf>
    <xf numFmtId="164" fontId="0" fillId="0" borderId="3" xfId="0" applyNumberFormat="1" applyBorder="1" applyAlignment="1">
      <alignment horizontal="center" vertical="center" wrapText="1"/>
    </xf>
    <xf numFmtId="164" fontId="0" fillId="0" borderId="0" xfId="0" applyNumberFormat="1"/>
    <xf numFmtId="0" fontId="9" fillId="0" borderId="0" xfId="0" applyFont="1" applyAlignment="1">
      <alignment horizontal="center"/>
    </xf>
    <xf numFmtId="0" fontId="9" fillId="8" borderId="6" xfId="0" applyFont="1" applyFill="1" applyBorder="1" applyAlignment="1">
      <alignment horizontal="center"/>
    </xf>
    <xf numFmtId="0" fontId="9" fillId="8" borderId="7" xfId="0" applyFont="1" applyFill="1" applyBorder="1" applyAlignment="1">
      <alignment horizontal="center"/>
    </xf>
    <xf numFmtId="0" fontId="9" fillId="8" borderId="8" xfId="0" applyFont="1" applyFill="1" applyBorder="1" applyAlignment="1">
      <alignment horizontal="center"/>
    </xf>
    <xf numFmtId="0" fontId="0" fillId="3" borderId="9" xfId="0" applyFill="1" applyBorder="1" applyAlignment="1">
      <alignment horizontal="center" vertical="center" wrapText="1"/>
    </xf>
    <xf numFmtId="0" fontId="10" fillId="0" borderId="10" xfId="0" applyFont="1" applyBorder="1"/>
    <xf numFmtId="0" fontId="10" fillId="0" borderId="11" xfId="0" applyFont="1" applyBorder="1"/>
    <xf numFmtId="0" fontId="0" fillId="0" borderId="12" xfId="0" applyBorder="1" applyAlignment="1">
      <alignment horizontal="center" vertical="center" wrapText="1"/>
    </xf>
    <xf numFmtId="0" fontId="10" fillId="0" borderId="0" xfId="0" applyFont="1"/>
    <xf numFmtId="0" fontId="10" fillId="0" borderId="13" xfId="0" applyFont="1" applyBorder="1"/>
    <xf numFmtId="0" fontId="0" fillId="3" borderId="12" xfId="0" applyFill="1" applyBorder="1" applyAlignment="1">
      <alignment horizontal="center" vertical="center" wrapText="1"/>
    </xf>
    <xf numFmtId="0" fontId="0" fillId="0" borderId="14" xfId="0" applyBorder="1" applyAlignment="1">
      <alignment horizontal="center" vertical="center" wrapText="1"/>
    </xf>
    <xf numFmtId="0" fontId="10" fillId="0" borderId="15" xfId="0" applyFont="1" applyBorder="1"/>
    <xf numFmtId="0" fontId="10" fillId="0" borderId="16" xfId="0" applyFont="1" applyBorder="1"/>
    <xf numFmtId="0" fontId="0" fillId="0" borderId="0" xfId="0" applyAlignment="1">
      <alignment horizontal="right" vertical="center" wrapText="1"/>
    </xf>
    <xf numFmtId="0" fontId="0" fillId="0" borderId="0" xfId="0" applyAlignment="1">
      <alignment vertical="center" wrapText="1"/>
    </xf>
    <xf numFmtId="0" fontId="0" fillId="0" borderId="18" xfId="0" applyBorder="1" applyAlignment="1">
      <alignment vertical="center" wrapText="1"/>
    </xf>
    <xf numFmtId="0" fontId="0" fillId="0" borderId="18" xfId="0" applyBorder="1" applyAlignment="1">
      <alignment horizontal="right" vertical="center" wrapText="1"/>
    </xf>
    <xf numFmtId="0" fontId="11" fillId="4" borderId="5" xfId="0" applyFont="1" applyFill="1" applyBorder="1" applyAlignment="1">
      <alignment horizontal="center"/>
    </xf>
    <xf numFmtId="0" fontId="11" fillId="4" borderId="20" xfId="0" applyFont="1" applyFill="1" applyBorder="1" applyAlignment="1">
      <alignment horizontal="center"/>
    </xf>
    <xf numFmtId="0" fontId="0" fillId="3" borderId="2" xfId="0" applyFill="1" applyBorder="1" applyAlignment="1">
      <alignment horizontal="center"/>
    </xf>
    <xf numFmtId="0" fontId="11" fillId="9" borderId="0" xfId="0" applyFont="1" applyFill="1" applyAlignment="1">
      <alignment horizontal="center"/>
    </xf>
    <xf numFmtId="0" fontId="0" fillId="10" borderId="0" xfId="0" applyFill="1" applyAlignment="1">
      <alignment horizontal="center"/>
    </xf>
    <xf numFmtId="0" fontId="3" fillId="0" borderId="10" xfId="0" applyFont="1" applyBorder="1" applyAlignment="1">
      <alignment horizontal="center"/>
    </xf>
    <xf numFmtId="0" fontId="3" fillId="0" borderId="19" xfId="0" applyFont="1" applyBorder="1" applyAlignment="1">
      <alignment horizontal="center"/>
    </xf>
    <xf numFmtId="0" fontId="1" fillId="0" borderId="21" xfId="0" applyFont="1" applyBorder="1" applyAlignment="1">
      <alignment horizontal="center"/>
    </xf>
    <xf numFmtId="0" fontId="12" fillId="3" borderId="2" xfId="0" applyFont="1" applyFill="1" applyBorder="1" applyAlignment="1">
      <alignment horizontal="center"/>
    </xf>
    <xf numFmtId="0" fontId="14" fillId="2" borderId="0" xfId="0" applyFont="1" applyFill="1" applyAlignment="1">
      <alignment horizontal="center"/>
    </xf>
    <xf numFmtId="0" fontId="15" fillId="6" borderId="17" xfId="0" applyFont="1" applyFill="1" applyBorder="1" applyAlignment="1">
      <alignment horizontal="center"/>
    </xf>
    <xf numFmtId="0" fontId="15" fillId="5" borderId="17" xfId="0" applyFont="1" applyFill="1" applyBorder="1" applyAlignment="1">
      <alignment horizontal="center"/>
    </xf>
    <xf numFmtId="0" fontId="14" fillId="7" borderId="22" xfId="0" applyFont="1" applyFill="1" applyBorder="1" applyAlignment="1">
      <alignment horizontal="center"/>
    </xf>
    <xf numFmtId="0" fontId="16" fillId="11" borderId="1" xfId="0" applyFont="1" applyFill="1" applyBorder="1" applyAlignment="1">
      <alignment vertical="center"/>
    </xf>
    <xf numFmtId="0" fontId="0" fillId="0" borderId="1" xfId="0" applyBorder="1"/>
    <xf numFmtId="0" fontId="0" fillId="0" borderId="0" xfId="0" applyAlignment="1">
      <alignment horizontal="center" vertical="center"/>
    </xf>
    <xf numFmtId="0" fontId="17" fillId="11" borderId="0" xfId="0" applyFont="1" applyFill="1" applyAlignment="1">
      <alignment vertical="center"/>
    </xf>
    <xf numFmtId="0" fontId="22" fillId="11" borderId="0" xfId="0" applyFont="1" applyFill="1" applyAlignment="1">
      <alignment horizontal="center" vertical="center"/>
    </xf>
    <xf numFmtId="0" fontId="17" fillId="15" borderId="0" xfId="0" applyFont="1" applyFill="1" applyAlignment="1">
      <alignment vertical="center"/>
    </xf>
    <xf numFmtId="0" fontId="21" fillId="12" borderId="26" xfId="0" applyFont="1" applyFill="1" applyBorder="1" applyAlignment="1">
      <alignment horizontal="center" vertical="center"/>
    </xf>
    <xf numFmtId="0" fontId="21" fillId="12" borderId="27" xfId="0" applyFont="1" applyFill="1" applyBorder="1" applyAlignment="1">
      <alignment horizontal="center" vertical="center"/>
    </xf>
    <xf numFmtId="0" fontId="21" fillId="12" borderId="28" xfId="0" applyFont="1" applyFill="1" applyBorder="1" applyAlignment="1">
      <alignment horizontal="center" vertical="center"/>
    </xf>
    <xf numFmtId="5" fontId="21" fillId="12" borderId="29" xfId="0" applyNumberFormat="1" applyFont="1" applyFill="1" applyBorder="1" applyAlignment="1">
      <alignment horizontal="center" vertical="center"/>
    </xf>
    <xf numFmtId="5" fontId="21" fillId="12" borderId="25" xfId="0" applyNumberFormat="1" applyFont="1" applyFill="1" applyBorder="1" applyAlignment="1">
      <alignment horizontal="center" vertical="center"/>
    </xf>
    <xf numFmtId="5" fontId="21" fillId="12" borderId="30" xfId="0" applyNumberFormat="1" applyFont="1" applyFill="1" applyBorder="1" applyAlignment="1">
      <alignment horizontal="center" vertical="center"/>
    </xf>
    <xf numFmtId="5" fontId="21" fillId="12" borderId="31" xfId="0" applyNumberFormat="1" applyFont="1" applyFill="1" applyBorder="1" applyAlignment="1">
      <alignment horizontal="center" vertical="center"/>
    </xf>
    <xf numFmtId="5" fontId="21" fillId="12" borderId="0" xfId="0" applyNumberFormat="1" applyFont="1" applyFill="1" applyAlignment="1">
      <alignment horizontal="center" vertical="center"/>
    </xf>
    <xf numFmtId="5" fontId="21" fillId="12" borderId="23" xfId="0" applyNumberFormat="1" applyFont="1" applyFill="1" applyBorder="1" applyAlignment="1">
      <alignment horizontal="center" vertical="center"/>
    </xf>
    <xf numFmtId="5" fontId="21" fillId="12" borderId="32" xfId="0" applyNumberFormat="1" applyFont="1" applyFill="1" applyBorder="1" applyAlignment="1">
      <alignment horizontal="center" vertical="center"/>
    </xf>
    <xf numFmtId="5" fontId="21" fillId="12" borderId="4" xfId="0" applyNumberFormat="1" applyFont="1" applyFill="1" applyBorder="1" applyAlignment="1">
      <alignment horizontal="center" vertical="center"/>
    </xf>
    <xf numFmtId="5" fontId="21" fillId="12" borderId="33" xfId="0" applyNumberFormat="1" applyFont="1" applyFill="1" applyBorder="1" applyAlignment="1">
      <alignment horizontal="center" vertical="center"/>
    </xf>
    <xf numFmtId="0" fontId="18" fillId="10" borderId="0" xfId="0" applyFont="1" applyFill="1" applyAlignment="1">
      <alignment horizontal="center" vertical="center"/>
    </xf>
    <xf numFmtId="0" fontId="23" fillId="5" borderId="0" xfId="0" applyFont="1" applyFill="1" applyAlignment="1">
      <alignment horizontal="center" vertical="center"/>
    </xf>
    <xf numFmtId="0" fontId="21" fillId="12" borderId="29" xfId="0" applyFont="1" applyFill="1" applyBorder="1" applyAlignment="1">
      <alignment horizontal="center" vertical="center"/>
    </xf>
    <xf numFmtId="0" fontId="21" fillId="12" borderId="30" xfId="0" applyFont="1" applyFill="1" applyBorder="1" applyAlignment="1">
      <alignment horizontal="center" vertical="center"/>
    </xf>
    <xf numFmtId="0" fontId="21" fillId="12" borderId="31" xfId="0" applyFont="1" applyFill="1" applyBorder="1" applyAlignment="1">
      <alignment horizontal="center" vertical="center"/>
    </xf>
    <xf numFmtId="0" fontId="21" fillId="12" borderId="23" xfId="0" applyFont="1" applyFill="1" applyBorder="1" applyAlignment="1">
      <alignment horizontal="center" vertical="center"/>
    </xf>
    <xf numFmtId="0" fontId="21" fillId="12" borderId="32" xfId="0" applyFont="1" applyFill="1" applyBorder="1" applyAlignment="1">
      <alignment horizontal="center" vertical="center"/>
    </xf>
    <xf numFmtId="0" fontId="21" fillId="12" borderId="33" xfId="0" applyFont="1" applyFill="1" applyBorder="1" applyAlignment="1">
      <alignment horizontal="center" vertical="center"/>
    </xf>
    <xf numFmtId="0" fontId="20" fillId="15" borderId="23" xfId="0" applyFont="1" applyFill="1" applyBorder="1" applyAlignment="1">
      <alignment horizontal="center" vertical="center"/>
    </xf>
    <xf numFmtId="0" fontId="24" fillId="13" borderId="0" xfId="0" applyFont="1" applyFill="1" applyAlignment="1">
      <alignment horizontal="center" vertical="center"/>
    </xf>
    <xf numFmtId="0" fontId="19" fillId="15" borderId="0" xfId="0" applyFont="1" applyFill="1" applyAlignment="1">
      <alignment horizontal="center" vertical="center"/>
    </xf>
    <xf numFmtId="3" fontId="23" fillId="11" borderId="1" xfId="0" applyNumberFormat="1" applyFont="1" applyFill="1" applyBorder="1" applyAlignment="1">
      <alignment horizontal="center" vertical="center"/>
    </xf>
    <xf numFmtId="0" fontId="23" fillId="5" borderId="25" xfId="0" applyFont="1" applyFill="1" applyBorder="1" applyAlignment="1">
      <alignment horizontal="center" vertical="center"/>
    </xf>
    <xf numFmtId="0" fontId="25" fillId="11" borderId="37" xfId="0" applyFont="1" applyFill="1" applyBorder="1" applyAlignment="1">
      <alignment horizontal="center"/>
    </xf>
    <xf numFmtId="3" fontId="23" fillId="11" borderId="38" xfId="0" applyNumberFormat="1" applyFont="1" applyFill="1" applyBorder="1" applyAlignment="1">
      <alignment horizontal="center" vertical="center"/>
    </xf>
    <xf numFmtId="0" fontId="18" fillId="11" borderId="39" xfId="0" applyFont="1" applyFill="1" applyBorder="1" applyAlignment="1">
      <alignment horizontal="center" vertical="center"/>
    </xf>
    <xf numFmtId="3" fontId="23" fillId="11" borderId="42" xfId="0" applyNumberFormat="1" applyFont="1" applyFill="1" applyBorder="1" applyAlignment="1">
      <alignment horizontal="center" vertical="center"/>
    </xf>
    <xf numFmtId="3" fontId="23" fillId="11" borderId="43" xfId="0" applyNumberFormat="1" applyFont="1" applyFill="1" applyBorder="1" applyAlignment="1">
      <alignment horizontal="center" vertical="center"/>
    </xf>
    <xf numFmtId="3" fontId="23" fillId="11" borderId="40" xfId="0" applyNumberFormat="1"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44" xfId="0" applyFont="1" applyFill="1" applyBorder="1" applyAlignment="1">
      <alignment horizontal="center" vertical="center"/>
    </xf>
    <xf numFmtId="3" fontId="23" fillId="11" borderId="45" xfId="0" applyNumberFormat="1" applyFont="1" applyFill="1" applyBorder="1" applyAlignment="1">
      <alignment horizontal="center" vertical="center"/>
    </xf>
    <xf numFmtId="3" fontId="23" fillId="11" borderId="46" xfId="0" applyNumberFormat="1" applyFont="1" applyFill="1" applyBorder="1" applyAlignment="1">
      <alignment horizontal="center" vertical="center"/>
    </xf>
    <xf numFmtId="0" fontId="23" fillId="5" borderId="47" xfId="0" applyFont="1" applyFill="1" applyBorder="1" applyAlignment="1">
      <alignment horizontal="center" vertical="center"/>
    </xf>
    <xf numFmtId="0" fontId="23" fillId="5" borderId="48" xfId="0" applyFont="1" applyFill="1" applyBorder="1" applyAlignment="1">
      <alignment horizontal="center" vertical="center"/>
    </xf>
    <xf numFmtId="0" fontId="23" fillId="10" borderId="47" xfId="0" applyFont="1" applyFill="1" applyBorder="1" applyAlignment="1">
      <alignment horizontal="center"/>
    </xf>
    <xf numFmtId="0" fontId="23" fillId="10" borderId="49" xfId="0" applyFont="1" applyFill="1" applyBorder="1" applyAlignment="1">
      <alignment horizontal="center"/>
    </xf>
    <xf numFmtId="0" fontId="23" fillId="16" borderId="35" xfId="0" applyFont="1" applyFill="1" applyBorder="1" applyAlignment="1">
      <alignment horizontal="center"/>
    </xf>
    <xf numFmtId="0" fontId="23" fillId="5" borderId="47" xfId="0" applyFont="1" applyFill="1" applyBorder="1" applyAlignment="1">
      <alignment horizontal="center"/>
    </xf>
    <xf numFmtId="0" fontId="23" fillId="5" borderId="48" xfId="0" applyFont="1" applyFill="1" applyBorder="1" applyAlignment="1">
      <alignment horizontal="center"/>
    </xf>
    <xf numFmtId="0" fontId="23" fillId="11" borderId="16" xfId="0" applyFont="1" applyFill="1" applyBorder="1" applyAlignment="1">
      <alignment horizontal="center" vertical="center"/>
    </xf>
    <xf numFmtId="0" fontId="25" fillId="11" borderId="36" xfId="0" applyFont="1" applyFill="1" applyBorder="1" applyAlignment="1">
      <alignment horizontal="center"/>
    </xf>
    <xf numFmtId="0" fontId="25" fillId="11" borderId="51" xfId="0" applyFont="1" applyFill="1" applyBorder="1" applyAlignment="1">
      <alignment horizontal="center"/>
    </xf>
    <xf numFmtId="0" fontId="23" fillId="11" borderId="24" xfId="0" applyFont="1" applyFill="1" applyBorder="1" applyAlignment="1">
      <alignment horizontal="center" vertical="center"/>
    </xf>
    <xf numFmtId="0" fontId="25" fillId="11" borderId="53" xfId="0" applyFont="1" applyFill="1" applyBorder="1" applyAlignment="1">
      <alignment horizontal="center"/>
    </xf>
    <xf numFmtId="0" fontId="25" fillId="11" borderId="34" xfId="0" applyFont="1" applyFill="1" applyBorder="1" applyAlignment="1">
      <alignment horizontal="center"/>
    </xf>
    <xf numFmtId="0" fontId="23" fillId="11" borderId="54" xfId="0" applyFont="1" applyFill="1" applyBorder="1" applyAlignment="1">
      <alignment horizontal="center" vertical="center"/>
    </xf>
    <xf numFmtId="0" fontId="23" fillId="11" borderId="55" xfId="0" applyFont="1" applyFill="1" applyBorder="1" applyAlignment="1">
      <alignment horizontal="center" vertical="center"/>
    </xf>
    <xf numFmtId="0" fontId="18" fillId="11" borderId="57" xfId="0" applyFont="1" applyFill="1" applyBorder="1" applyAlignment="1">
      <alignment horizontal="center" vertical="center"/>
    </xf>
    <xf numFmtId="0" fontId="23" fillId="18" borderId="35" xfId="0" applyFont="1" applyFill="1" applyBorder="1" applyAlignment="1">
      <alignment horizontal="center"/>
    </xf>
    <xf numFmtId="0" fontId="26" fillId="0" borderId="47" xfId="0" applyFont="1" applyBorder="1" applyAlignment="1">
      <alignment horizontal="center"/>
    </xf>
    <xf numFmtId="0" fontId="26" fillId="0" borderId="58" xfId="0" applyFont="1" applyBorder="1" applyAlignment="1">
      <alignment horizontal="center"/>
    </xf>
    <xf numFmtId="0" fontId="26" fillId="0" borderId="35" xfId="0" applyFont="1" applyBorder="1" applyAlignment="1">
      <alignment horizontal="center"/>
    </xf>
    <xf numFmtId="0" fontId="26" fillId="17" borderId="35" xfId="0" applyFont="1" applyFill="1" applyBorder="1" applyAlignment="1">
      <alignment horizontal="center"/>
    </xf>
    <xf numFmtId="0" fontId="23" fillId="11" borderId="50" xfId="0" applyFont="1" applyFill="1" applyBorder="1" applyAlignment="1">
      <alignment horizontal="center" vertical="center"/>
    </xf>
    <xf numFmtId="0" fontId="23" fillId="11" borderId="52" xfId="0" applyFont="1" applyFill="1" applyBorder="1" applyAlignment="1">
      <alignment horizontal="center" vertical="center"/>
    </xf>
    <xf numFmtId="0" fontId="23" fillId="11" borderId="56" xfId="0" applyFont="1" applyFill="1" applyBorder="1" applyAlignment="1">
      <alignment horizontal="center" vertical="center"/>
    </xf>
    <xf numFmtId="0" fontId="0" fillId="0" borderId="0" xfId="0" applyNumberFormat="1"/>
    <xf numFmtId="0" fontId="27" fillId="14" borderId="0" xfId="0" applyFont="1" applyFill="1" applyAlignment="1">
      <alignment horizontal="center" vertical="center"/>
    </xf>
    <xf numFmtId="0" fontId="28" fillId="10" borderId="0" xfId="0" applyFont="1" applyFill="1" applyAlignment="1">
      <alignment horizontal="center" vertical="center"/>
    </xf>
    <xf numFmtId="0" fontId="22" fillId="11" borderId="0" xfId="0" applyFont="1" applyFill="1" applyAlignment="1">
      <alignment vertical="center"/>
    </xf>
  </cellXfs>
  <cellStyles count="1">
    <cellStyle name="Normal" xfId="0" builtinId="0"/>
  </cellStyles>
  <dxfs count="44">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right" vertical="center" textRotation="0" wrapText="1" indent="0" justifyLastLine="0" shrinkToFit="0" readingOrder="0"/>
    </dxf>
    <dxf>
      <border outline="0">
        <bottom style="medium">
          <color indexed="64"/>
        </bottom>
      </border>
    </dxf>
    <dxf>
      <alignment horizontal="right"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border diagonalUp="0" diagonalDown="0">
        <left/>
        <right style="thin">
          <color indexed="64"/>
        </right>
        <vertical/>
      </border>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top style="thin">
          <color theme="4" tint="0.39997558519241921"/>
        </top>
        <bottom style="thin">
          <color theme="4" tint="0.39997558519241921"/>
        </bottom>
        <vertical/>
        <horizontal/>
      </border>
    </dxf>
    <dxf>
      <border outline="0">
        <top style="medium">
          <color indexed="64"/>
        </top>
      </border>
    </dxf>
    <dxf>
      <font>
        <b val="0"/>
        <i val="0"/>
        <strike val="0"/>
        <condense val="0"/>
        <extend val="0"/>
        <outline val="0"/>
        <shadow val="0"/>
        <u val="none"/>
        <vertAlign val="baseline"/>
        <sz val="18"/>
        <color theme="1"/>
        <name val="Calibri"/>
        <family val="2"/>
        <scheme val="minor"/>
      </font>
    </dxf>
    <dxf>
      <border outline="0">
        <bottom style="medium">
          <color indexed="64"/>
        </bottom>
      </border>
    </dxf>
    <dxf>
      <font>
        <b/>
        <i val="0"/>
        <strike val="0"/>
        <condense val="0"/>
        <extend val="0"/>
        <outline val="0"/>
        <shadow val="0"/>
        <u val="none"/>
        <vertAlign val="baseline"/>
        <sz val="18"/>
        <color theme="2" tint="-0.89999084444715716"/>
        <name val="Calibri"/>
        <family val="2"/>
        <scheme val="minor"/>
      </font>
      <fill>
        <patternFill patternType="solid">
          <fgColor indexed="64"/>
          <bgColor rgb="FFFF99FF"/>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medium">
          <color indexed="64"/>
        </left>
        <right/>
        <top style="thin">
          <color indexed="64"/>
        </top>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right/>
        <top style="thin">
          <color indexed="64"/>
        </top>
        <bottom/>
        <vertical/>
        <horizontal/>
      </border>
    </dxf>
    <dxf>
      <border outline="0">
        <left style="medium">
          <color indexed="64"/>
        </left>
        <right style="medium">
          <color indexed="64"/>
        </right>
        <top style="medium">
          <color indexed="64"/>
        </top>
        <bottom style="medium">
          <color indexed="64"/>
        </bottom>
      </border>
    </dxf>
    <dxf>
      <font>
        <strike val="0"/>
        <outline val="0"/>
        <shadow val="0"/>
        <u val="none"/>
        <vertAlign val="baseline"/>
        <color rgb="FF002060"/>
        <name val="Calibri"/>
        <family val="2"/>
        <scheme val="minor"/>
      </font>
    </dxf>
    <dxf>
      <fill>
        <patternFill patternType="solid">
          <fgColor indexed="64"/>
          <bgColor theme="4" tint="0.79998168889431442"/>
        </patternFill>
      </fill>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z val="11"/>
        <name val="Franklin Gothic Medium"/>
        <family val="2"/>
        <scheme val="none"/>
      </font>
    </dxf>
  </dxfs>
  <tableStyles count="1" defaultTableStyle="TableStyleMedium2" defaultPivotStyle="PivotStyleLight16">
    <tableStyle name="Slicer Style 1" pivot="0" table="0" count="1" xr9:uid="{3FB0AEE8-EBD2-4AD8-918E-2618967586F5}">
      <tableStyleElement type="headerRow" dxfId="43"/>
    </tableStyle>
  </tableStyles>
  <colors>
    <mruColors>
      <color rgb="FF6666FF"/>
      <color rgb="FF18174D"/>
      <color rgb="FF008000"/>
      <color rgb="FF051312"/>
      <color rgb="FF5E1FE9"/>
      <color rgb="FFFF99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Model</a:t>
            </a:r>
            <a:r>
              <a:rPr lang="en-IN" baseline="0"/>
              <a:t> Wise Sale Report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Sum of Delivered</c:v>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7150" dist="19050" dir="5400000" algn="ctr" rotWithShape="0">
                <a:srgbClr val="000000">
                  <a:alpha val="63000"/>
                </a:srgbClr>
              </a:outerShdw>
            </a:effectLst>
            <a:sp3d/>
          </c:spPr>
          <c:invertIfNegative val="0"/>
          <c:cat>
            <c:strLit>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Lit>
          </c:cat>
          <c:val>
            <c:numLit>
              <c:formatCode>General</c:formatCode>
              <c:ptCount val="11"/>
              <c:pt idx="0">
                <c:v>20</c:v>
              </c:pt>
              <c:pt idx="1">
                <c:v>20</c:v>
              </c:pt>
              <c:pt idx="2">
                <c:v>15</c:v>
              </c:pt>
              <c:pt idx="3">
                <c:v>30</c:v>
              </c:pt>
              <c:pt idx="4">
                <c:v>8</c:v>
              </c:pt>
              <c:pt idx="5">
                <c:v>15</c:v>
              </c:pt>
              <c:pt idx="6">
                <c:v>8</c:v>
              </c:pt>
              <c:pt idx="7">
                <c:v>15</c:v>
              </c:pt>
              <c:pt idx="8">
                <c:v>6</c:v>
              </c:pt>
              <c:pt idx="9">
                <c:v>9</c:v>
              </c:pt>
              <c:pt idx="10">
                <c:v>20</c:v>
              </c:pt>
            </c:numLit>
          </c:val>
          <c:extLst>
            <c:ext xmlns:c16="http://schemas.microsoft.com/office/drawing/2014/chart" uri="{C3380CC4-5D6E-409C-BE32-E72D297353CC}">
              <c16:uniqueId val="{00000000-67A7-4C95-8B01-BAFF838C065B}"/>
            </c:ext>
          </c:extLst>
        </c:ser>
        <c:ser>
          <c:idx val="1"/>
          <c:order val="1"/>
          <c:tx>
            <c:v>Sum of Pending</c:v>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7150" dist="19050" dir="5400000" algn="ctr" rotWithShape="0">
                <a:srgbClr val="000000">
                  <a:alpha val="63000"/>
                </a:srgbClr>
              </a:outerShdw>
            </a:effectLst>
            <a:sp3d/>
          </c:spPr>
          <c:invertIfNegative val="0"/>
          <c:cat>
            <c:strLit>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Lit>
          </c:cat>
          <c:val>
            <c:numLit>
              <c:formatCode>General</c:formatCode>
              <c:ptCount val="11"/>
              <c:pt idx="0">
                <c:v>5</c:v>
              </c:pt>
              <c:pt idx="1">
                <c:v>5</c:v>
              </c:pt>
              <c:pt idx="2">
                <c:v>5</c:v>
              </c:pt>
              <c:pt idx="3">
                <c:v>0</c:v>
              </c:pt>
              <c:pt idx="4">
                <c:v>4</c:v>
              </c:pt>
              <c:pt idx="5">
                <c:v>10</c:v>
              </c:pt>
              <c:pt idx="6">
                <c:v>0</c:v>
              </c:pt>
              <c:pt idx="7">
                <c:v>5</c:v>
              </c:pt>
              <c:pt idx="8">
                <c:v>0</c:v>
              </c:pt>
              <c:pt idx="9">
                <c:v>0</c:v>
              </c:pt>
              <c:pt idx="10">
                <c:v>5</c:v>
              </c:pt>
            </c:numLit>
          </c:val>
          <c:extLst>
            <c:ext xmlns:c16="http://schemas.microsoft.com/office/drawing/2014/chart" uri="{C3380CC4-5D6E-409C-BE32-E72D297353CC}">
              <c16:uniqueId val="{00000001-67A7-4C95-8B01-BAFF838C065B}"/>
            </c:ext>
          </c:extLst>
        </c:ser>
        <c:ser>
          <c:idx val="2"/>
          <c:order val="2"/>
          <c:tx>
            <c:v>Sum of In Transit</c:v>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a:sp3d/>
          </c:spPr>
          <c:invertIfNegative val="0"/>
          <c:cat>
            <c:strLit>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Lit>
          </c:cat>
          <c:val>
            <c:numLit>
              <c:formatCode>General</c:formatCode>
              <c:ptCount val="11"/>
              <c:pt idx="0">
                <c:v>0</c:v>
              </c:pt>
              <c:pt idx="1">
                <c:v>0</c:v>
              </c:pt>
              <c:pt idx="2">
                <c:v>5</c:v>
              </c:pt>
              <c:pt idx="3">
                <c:v>6</c:v>
              </c:pt>
              <c:pt idx="4">
                <c:v>4</c:v>
              </c:pt>
              <c:pt idx="5">
                <c:v>0</c:v>
              </c:pt>
              <c:pt idx="6">
                <c:v>8</c:v>
              </c:pt>
              <c:pt idx="7">
                <c:v>5</c:v>
              </c:pt>
              <c:pt idx="8">
                <c:v>3</c:v>
              </c:pt>
              <c:pt idx="9">
                <c:v>0</c:v>
              </c:pt>
              <c:pt idx="10">
                <c:v>0</c:v>
              </c:pt>
            </c:numLit>
          </c:val>
          <c:extLst>
            <c:ext xmlns:c16="http://schemas.microsoft.com/office/drawing/2014/chart" uri="{C3380CC4-5D6E-409C-BE32-E72D297353CC}">
              <c16:uniqueId val="{00000002-67A7-4C95-8B01-BAFF838C065B}"/>
            </c:ext>
          </c:extLst>
        </c:ser>
        <c:dLbls>
          <c:showLegendKey val="0"/>
          <c:showVal val="0"/>
          <c:showCatName val="0"/>
          <c:showSerName val="0"/>
          <c:showPercent val="0"/>
          <c:showBubbleSize val="0"/>
        </c:dLbls>
        <c:gapWidth val="100"/>
        <c:shape val="box"/>
        <c:axId val="1689720880"/>
        <c:axId val="1061932000"/>
        <c:axId val="0"/>
      </c:bar3DChart>
      <c:catAx>
        <c:axId val="1689720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1932000"/>
        <c:crosses val="autoZero"/>
        <c:auto val="1"/>
        <c:lblAlgn val="ctr"/>
        <c:lblOffset val="100"/>
        <c:noMultiLvlLbl val="0"/>
        <c:extLst/>
      </c:catAx>
      <c:valAx>
        <c:axId val="1061932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9720880"/>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[car_sale_final.xlsx]Dashboard!PivotTable5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Wise  Sale Report</a:t>
            </a:r>
            <a:endParaRPr lang="en-US"/>
          </a:p>
        </c:rich>
      </c:tx>
      <c:layout>
        <c:manualLayout>
          <c:xMode val="edge"/>
          <c:yMode val="edge"/>
          <c:x val="0.17773962804005725"/>
          <c:y val="9.207599669739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101143482048011"/>
          <c:y val="0.2794595706895886"/>
          <c:w val="0.3261700779108585"/>
          <c:h val="0.61581594578315291"/>
        </c:manualLayout>
      </c:layout>
      <c:doughnutChart>
        <c:varyColors val="1"/>
        <c:ser>
          <c:idx val="0"/>
          <c:order val="0"/>
          <c:tx>
            <c:strRef>
              <c:f>Dashboard!$C$16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CB-4817-B27C-FDF89EA6230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CB-4817-B27C-FDF89EA6230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CB-4817-B27C-FDF89EA6230F}"/>
              </c:ext>
            </c:extLst>
          </c:dPt>
          <c:cat>
            <c:strRef>
              <c:f>Dashboard!$B$17:$B$20</c:f>
              <c:strCache>
                <c:ptCount val="3"/>
                <c:pt idx="0">
                  <c:v>Metro</c:v>
                </c:pt>
                <c:pt idx="1">
                  <c:v>Tier 1</c:v>
                </c:pt>
                <c:pt idx="2">
                  <c:v>Tier 2</c:v>
                </c:pt>
              </c:strCache>
            </c:strRef>
          </c:cat>
          <c:val>
            <c:numRef>
              <c:f>Dashboard!$C$17:$C$20</c:f>
              <c:numCache>
                <c:formatCode>General</c:formatCode>
                <c:ptCount val="3"/>
                <c:pt idx="0">
                  <c:v>17</c:v>
                </c:pt>
                <c:pt idx="1">
                  <c:v>11</c:v>
                </c:pt>
                <c:pt idx="2">
                  <c:v>7</c:v>
                </c:pt>
              </c:numCache>
            </c:numRef>
          </c:val>
          <c:extLst>
            <c:ext xmlns:c16="http://schemas.microsoft.com/office/drawing/2014/chart" uri="{C3380CC4-5D6E-409C-BE32-E72D297353CC}">
              <c16:uniqueId val="{00000000-0A28-4FF7-B20A-EEFCC50E5A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a:t>
            </a:r>
            <a:r>
              <a:rPr lang="en-IN" baseline="0"/>
              <a:t> Insights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27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v>Sum of Unrealised P&amp;L</c:v>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outerShdw blurRad="50800" dist="38100" dir="2700000" algn="tl" rotWithShape="0">
                <a:prstClr val="black">
                  <a:alpha val="40000"/>
                </a:prstClr>
              </a:outerShdw>
            </a:effectLst>
          </c:spPr>
          <c:invertIfNegative val="0"/>
          <c:cat>
            <c:strLit>
              <c:ptCount val="1"/>
              <c:pt idx="0">
                <c:v>Total</c:v>
              </c:pt>
            </c:strLit>
          </c:cat>
          <c:val>
            <c:numLit>
              <c:formatCode>General</c:formatCode>
              <c:ptCount val="1"/>
              <c:pt idx="0">
                <c:v>-5650000</c:v>
              </c:pt>
            </c:numLit>
          </c:val>
          <c:extLst>
            <c:ext xmlns:c16="http://schemas.microsoft.com/office/drawing/2014/chart" uri="{C3380CC4-5D6E-409C-BE32-E72D297353CC}">
              <c16:uniqueId val="{00000002-97B4-4593-8000-A17C01513ABE}"/>
            </c:ext>
          </c:extLst>
        </c:ser>
        <c:ser>
          <c:idx val="2"/>
          <c:order val="1"/>
          <c:tx>
            <c:v>Sum of Realised P&amp;L</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2272000</c:v>
              </c:pt>
            </c:numLit>
          </c:val>
          <c:extLst>
            <c:ext xmlns:c16="http://schemas.microsoft.com/office/drawing/2014/chart" uri="{C3380CC4-5D6E-409C-BE32-E72D297353CC}">
              <c16:uniqueId val="{00000003-97B4-4593-8000-A17C01513ABE}"/>
            </c:ext>
          </c:extLst>
        </c:ser>
        <c:ser>
          <c:idx val="3"/>
          <c:order val="2"/>
          <c:tx>
            <c:v>Sum of Estimated P&amp;L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Total</c:v>
              </c:pt>
            </c:strLit>
          </c:cat>
          <c:val>
            <c:numLit>
              <c:formatCode>General</c:formatCode>
              <c:ptCount val="1"/>
              <c:pt idx="0">
                <c:v>7928000</c:v>
              </c:pt>
            </c:numLit>
          </c:val>
          <c:extLst>
            <c:ext xmlns:c16="http://schemas.microsoft.com/office/drawing/2014/chart" uri="{C3380CC4-5D6E-409C-BE32-E72D297353CC}">
              <c16:uniqueId val="{00000004-97B4-4593-8000-A17C01513ABE}"/>
            </c:ext>
          </c:extLst>
        </c:ser>
        <c:dLbls>
          <c:showLegendKey val="0"/>
          <c:showVal val="0"/>
          <c:showCatName val="0"/>
          <c:showSerName val="0"/>
          <c:showPercent val="0"/>
          <c:showBubbleSize val="0"/>
        </c:dLbls>
        <c:gapWidth val="100"/>
        <c:overlap val="-24"/>
        <c:axId val="1061928160"/>
        <c:axId val="1061934880"/>
      </c:barChart>
      <c:catAx>
        <c:axId val="10619281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1934880"/>
        <c:crosses val="autoZero"/>
        <c:auto val="1"/>
        <c:lblAlgn val="ctr"/>
        <c:lblOffset val="100"/>
        <c:noMultiLvlLbl val="0"/>
      </c:catAx>
      <c:valAx>
        <c:axId val="1061934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192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[car_sale_final.xlsx]City_category!PivotTable3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City_category!$B$3:$B$4</c:f>
              <c:strCache>
                <c:ptCount val="1"/>
                <c:pt idx="0">
                  <c:v>Metro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City_category!$A$5:$A$16</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City_category!$B$5:$B$16</c:f>
              <c:numCache>
                <c:formatCode>General</c:formatCode>
                <c:ptCount val="11"/>
                <c:pt idx="0">
                  <c:v>2130000</c:v>
                </c:pt>
                <c:pt idx="1">
                  <c:v>2180000</c:v>
                </c:pt>
                <c:pt idx="2">
                  <c:v>4450000</c:v>
                </c:pt>
                <c:pt idx="3">
                  <c:v>2510000</c:v>
                </c:pt>
                <c:pt idx="4">
                  <c:v>2930000</c:v>
                </c:pt>
                <c:pt idx="5">
                  <c:v>670000</c:v>
                </c:pt>
                <c:pt idx="6">
                  <c:v>1220000</c:v>
                </c:pt>
                <c:pt idx="7">
                  <c:v>1650000</c:v>
                </c:pt>
                <c:pt idx="9">
                  <c:v>1950000</c:v>
                </c:pt>
                <c:pt idx="10">
                  <c:v>645000</c:v>
                </c:pt>
              </c:numCache>
            </c:numRef>
          </c:val>
          <c:extLst>
            <c:ext xmlns:c16="http://schemas.microsoft.com/office/drawing/2014/chart" uri="{C3380CC4-5D6E-409C-BE32-E72D297353CC}">
              <c16:uniqueId val="{00000000-4BB5-44E3-8D56-CD3A3FCCCBB3}"/>
            </c:ext>
          </c:extLst>
        </c:ser>
        <c:ser>
          <c:idx val="1"/>
          <c:order val="1"/>
          <c:tx>
            <c:strRef>
              <c:f>City_category!$C$3:$C$4</c:f>
              <c:strCache>
                <c:ptCount val="1"/>
                <c:pt idx="0">
                  <c:v>Tier 1</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City_category!$A$5:$A$16</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City_category!$C$5:$C$16</c:f>
              <c:numCache>
                <c:formatCode>General</c:formatCode>
                <c:ptCount val="11"/>
                <c:pt idx="0">
                  <c:v>1455000</c:v>
                </c:pt>
                <c:pt idx="1">
                  <c:v>2170000</c:v>
                </c:pt>
                <c:pt idx="2">
                  <c:v>1550000</c:v>
                </c:pt>
                <c:pt idx="3">
                  <c:v>870000</c:v>
                </c:pt>
                <c:pt idx="4">
                  <c:v>1500000</c:v>
                </c:pt>
                <c:pt idx="5">
                  <c:v>1300000</c:v>
                </c:pt>
                <c:pt idx="6">
                  <c:v>1180000</c:v>
                </c:pt>
                <c:pt idx="7">
                  <c:v>4750000</c:v>
                </c:pt>
                <c:pt idx="9">
                  <c:v>980000</c:v>
                </c:pt>
                <c:pt idx="10">
                  <c:v>1290000</c:v>
                </c:pt>
              </c:numCache>
            </c:numRef>
          </c:val>
          <c:extLst>
            <c:ext xmlns:c16="http://schemas.microsoft.com/office/drawing/2014/chart" uri="{C3380CC4-5D6E-409C-BE32-E72D297353CC}">
              <c16:uniqueId val="{00000007-8A54-4E1B-8A27-72ED3B09957C}"/>
            </c:ext>
          </c:extLst>
        </c:ser>
        <c:ser>
          <c:idx val="2"/>
          <c:order val="2"/>
          <c:tx>
            <c:strRef>
              <c:f>City_category!$D$3:$D$4</c:f>
              <c:strCache>
                <c:ptCount val="1"/>
                <c:pt idx="0">
                  <c:v>Tier 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City_category!$A$5:$A$16</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City_category!$D$5:$D$16</c:f>
              <c:numCache>
                <c:formatCode>General</c:formatCode>
                <c:ptCount val="11"/>
                <c:pt idx="1">
                  <c:v>1150000</c:v>
                </c:pt>
                <c:pt idx="2">
                  <c:v>1500000</c:v>
                </c:pt>
                <c:pt idx="3">
                  <c:v>1620000</c:v>
                </c:pt>
                <c:pt idx="4">
                  <c:v>1520000</c:v>
                </c:pt>
                <c:pt idx="5">
                  <c:v>1285000</c:v>
                </c:pt>
                <c:pt idx="6">
                  <c:v>2350000</c:v>
                </c:pt>
                <c:pt idx="7">
                  <c:v>1600000</c:v>
                </c:pt>
                <c:pt idx="8">
                  <c:v>1610000</c:v>
                </c:pt>
                <c:pt idx="10">
                  <c:v>1235000</c:v>
                </c:pt>
              </c:numCache>
            </c:numRef>
          </c:val>
          <c:extLst>
            <c:ext xmlns:c16="http://schemas.microsoft.com/office/drawing/2014/chart" uri="{C3380CC4-5D6E-409C-BE32-E72D297353CC}">
              <c16:uniqueId val="{00000003-904A-400E-802F-120C01E311C6}"/>
            </c:ext>
          </c:extLst>
        </c:ser>
        <c:dLbls>
          <c:showLegendKey val="0"/>
          <c:showVal val="0"/>
          <c:showCatName val="0"/>
          <c:showSerName val="0"/>
          <c:showPercent val="0"/>
          <c:showBubbleSize val="0"/>
        </c:dLbls>
        <c:gapWidth val="315"/>
        <c:overlap val="-40"/>
        <c:axId val="898195039"/>
        <c:axId val="898197919"/>
      </c:barChart>
      <c:catAx>
        <c:axId val="8981950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8197919"/>
        <c:crosses val="autoZero"/>
        <c:auto val="1"/>
        <c:lblAlgn val="ctr"/>
        <c:lblOffset val="100"/>
        <c:noMultiLvlLbl val="0"/>
      </c:catAx>
      <c:valAx>
        <c:axId val="898197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819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[car_sale_final.xlsx]Sheet1!PivotTable1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Cost &amp; Tax</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Sum of Product Cost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Sheet1!$A$2:$A$13</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Sheet1!$B$2:$B$13</c:f>
              <c:numCache>
                <c:formatCode>General</c:formatCode>
                <c:ptCount val="11"/>
                <c:pt idx="0">
                  <c:v>3585000</c:v>
                </c:pt>
                <c:pt idx="1">
                  <c:v>5500000</c:v>
                </c:pt>
                <c:pt idx="2">
                  <c:v>7500000</c:v>
                </c:pt>
                <c:pt idx="3">
                  <c:v>5000000</c:v>
                </c:pt>
                <c:pt idx="4">
                  <c:v>5950000</c:v>
                </c:pt>
                <c:pt idx="5">
                  <c:v>3255000</c:v>
                </c:pt>
                <c:pt idx="6">
                  <c:v>4750000</c:v>
                </c:pt>
                <c:pt idx="7">
                  <c:v>8000000</c:v>
                </c:pt>
                <c:pt idx="8">
                  <c:v>1610000</c:v>
                </c:pt>
                <c:pt idx="9">
                  <c:v>2930000</c:v>
                </c:pt>
                <c:pt idx="10">
                  <c:v>3170000</c:v>
                </c:pt>
              </c:numCache>
            </c:numRef>
          </c:val>
          <c:smooth val="0"/>
          <c:extLst>
            <c:ext xmlns:c16="http://schemas.microsoft.com/office/drawing/2014/chart" uri="{C3380CC4-5D6E-409C-BE32-E72D297353CC}">
              <c16:uniqueId val="{00000000-7B6A-4122-B65B-FF193E367F84}"/>
            </c:ext>
          </c:extLst>
        </c:ser>
        <c:ser>
          <c:idx val="1"/>
          <c:order val="1"/>
          <c:tx>
            <c:strRef>
              <c:f>Sheet1!$C$1</c:f>
              <c:strCache>
                <c:ptCount val="1"/>
                <c:pt idx="0">
                  <c:v>Sum of Taxation &amp; Delivery Cost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Sheet1!$A$2:$A$13</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Sheet1!$C$2:$C$13</c:f>
              <c:numCache>
                <c:formatCode>General</c:formatCode>
                <c:ptCount val="11"/>
                <c:pt idx="0">
                  <c:v>550000</c:v>
                </c:pt>
                <c:pt idx="1">
                  <c:v>908000</c:v>
                </c:pt>
                <c:pt idx="2">
                  <c:v>1288000</c:v>
                </c:pt>
                <c:pt idx="3">
                  <c:v>764000</c:v>
                </c:pt>
                <c:pt idx="4">
                  <c:v>750000</c:v>
                </c:pt>
                <c:pt idx="5">
                  <c:v>498000</c:v>
                </c:pt>
                <c:pt idx="6">
                  <c:v>648000</c:v>
                </c:pt>
                <c:pt idx="7">
                  <c:v>1388000</c:v>
                </c:pt>
                <c:pt idx="8">
                  <c:v>250000</c:v>
                </c:pt>
                <c:pt idx="9">
                  <c:v>403000</c:v>
                </c:pt>
                <c:pt idx="10">
                  <c:v>475000</c:v>
                </c:pt>
              </c:numCache>
            </c:numRef>
          </c:val>
          <c:smooth val="0"/>
          <c:extLst>
            <c:ext xmlns:c16="http://schemas.microsoft.com/office/drawing/2014/chart" uri="{C3380CC4-5D6E-409C-BE32-E72D297353CC}">
              <c16:uniqueId val="{00000001-7B6A-4122-B65B-FF193E367F84}"/>
            </c:ext>
          </c:extLst>
        </c:ser>
        <c:dLbls>
          <c:showLegendKey val="0"/>
          <c:showVal val="0"/>
          <c:showCatName val="0"/>
          <c:showSerName val="0"/>
          <c:showPercent val="0"/>
          <c:showBubbleSize val="0"/>
        </c:dLbls>
        <c:marker val="1"/>
        <c:smooth val="0"/>
        <c:axId val="1860168672"/>
        <c:axId val="1860169152"/>
      </c:lineChart>
      <c:catAx>
        <c:axId val="1860168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169152"/>
        <c:crosses val="autoZero"/>
        <c:auto val="1"/>
        <c:lblAlgn val="ctr"/>
        <c:lblOffset val="100"/>
        <c:noMultiLvlLbl val="0"/>
      </c:catAx>
      <c:valAx>
        <c:axId val="1860169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016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[car_sale_final.xlsx]City_category!PivotTable3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City_category!$B$3:$B$4</c:f>
              <c:strCache>
                <c:ptCount val="1"/>
                <c:pt idx="0">
                  <c:v>Metro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City_category!$A$5:$A$16</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City_category!$B$5:$B$16</c:f>
              <c:numCache>
                <c:formatCode>General</c:formatCode>
                <c:ptCount val="11"/>
                <c:pt idx="0">
                  <c:v>2130000</c:v>
                </c:pt>
                <c:pt idx="1">
                  <c:v>2180000</c:v>
                </c:pt>
                <c:pt idx="2">
                  <c:v>4450000</c:v>
                </c:pt>
                <c:pt idx="3">
                  <c:v>2510000</c:v>
                </c:pt>
                <c:pt idx="4">
                  <c:v>2930000</c:v>
                </c:pt>
                <c:pt idx="5">
                  <c:v>670000</c:v>
                </c:pt>
                <c:pt idx="6">
                  <c:v>1220000</c:v>
                </c:pt>
                <c:pt idx="7">
                  <c:v>1650000</c:v>
                </c:pt>
                <c:pt idx="9">
                  <c:v>1950000</c:v>
                </c:pt>
                <c:pt idx="10">
                  <c:v>645000</c:v>
                </c:pt>
              </c:numCache>
            </c:numRef>
          </c:val>
          <c:extLst>
            <c:ext xmlns:c16="http://schemas.microsoft.com/office/drawing/2014/chart" uri="{C3380CC4-5D6E-409C-BE32-E72D297353CC}">
              <c16:uniqueId val="{00000000-D7A3-49AC-AA39-23B265FA04AC}"/>
            </c:ext>
          </c:extLst>
        </c:ser>
        <c:ser>
          <c:idx val="1"/>
          <c:order val="1"/>
          <c:tx>
            <c:strRef>
              <c:f>City_category!$C$3:$C$4</c:f>
              <c:strCache>
                <c:ptCount val="1"/>
                <c:pt idx="0">
                  <c:v>Tier 1</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City_category!$A$5:$A$16</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City_category!$C$5:$C$16</c:f>
              <c:numCache>
                <c:formatCode>General</c:formatCode>
                <c:ptCount val="11"/>
                <c:pt idx="0">
                  <c:v>1455000</c:v>
                </c:pt>
                <c:pt idx="1">
                  <c:v>2170000</c:v>
                </c:pt>
                <c:pt idx="2">
                  <c:v>1550000</c:v>
                </c:pt>
                <c:pt idx="3">
                  <c:v>870000</c:v>
                </c:pt>
                <c:pt idx="4">
                  <c:v>1500000</c:v>
                </c:pt>
                <c:pt idx="5">
                  <c:v>1300000</c:v>
                </c:pt>
                <c:pt idx="6">
                  <c:v>1180000</c:v>
                </c:pt>
                <c:pt idx="7">
                  <c:v>4750000</c:v>
                </c:pt>
                <c:pt idx="9">
                  <c:v>980000</c:v>
                </c:pt>
                <c:pt idx="10">
                  <c:v>1290000</c:v>
                </c:pt>
              </c:numCache>
            </c:numRef>
          </c:val>
          <c:extLst>
            <c:ext xmlns:c16="http://schemas.microsoft.com/office/drawing/2014/chart" uri="{C3380CC4-5D6E-409C-BE32-E72D297353CC}">
              <c16:uniqueId val="{00000007-EDB5-45A8-A80D-D2FF32E185B7}"/>
            </c:ext>
          </c:extLst>
        </c:ser>
        <c:ser>
          <c:idx val="2"/>
          <c:order val="2"/>
          <c:tx>
            <c:strRef>
              <c:f>City_category!$D$3:$D$4</c:f>
              <c:strCache>
                <c:ptCount val="1"/>
                <c:pt idx="0">
                  <c:v>Tier 2</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City_category!$A$5:$A$16</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City_category!$D$5:$D$16</c:f>
              <c:numCache>
                <c:formatCode>General</c:formatCode>
                <c:ptCount val="11"/>
                <c:pt idx="1">
                  <c:v>1150000</c:v>
                </c:pt>
                <c:pt idx="2">
                  <c:v>1500000</c:v>
                </c:pt>
                <c:pt idx="3">
                  <c:v>1620000</c:v>
                </c:pt>
                <c:pt idx="4">
                  <c:v>1520000</c:v>
                </c:pt>
                <c:pt idx="5">
                  <c:v>1285000</c:v>
                </c:pt>
                <c:pt idx="6">
                  <c:v>2350000</c:v>
                </c:pt>
                <c:pt idx="7">
                  <c:v>1600000</c:v>
                </c:pt>
                <c:pt idx="8">
                  <c:v>1610000</c:v>
                </c:pt>
                <c:pt idx="10">
                  <c:v>1235000</c:v>
                </c:pt>
              </c:numCache>
            </c:numRef>
          </c:val>
          <c:extLst>
            <c:ext xmlns:c16="http://schemas.microsoft.com/office/drawing/2014/chart" uri="{C3380CC4-5D6E-409C-BE32-E72D297353CC}">
              <c16:uniqueId val="{00000002-370D-427B-93C5-B6762BFBD4DD}"/>
            </c:ext>
          </c:extLst>
        </c:ser>
        <c:dLbls>
          <c:showLegendKey val="0"/>
          <c:showVal val="0"/>
          <c:showCatName val="0"/>
          <c:showSerName val="0"/>
          <c:showPercent val="0"/>
          <c:showBubbleSize val="0"/>
        </c:dLbls>
        <c:gapWidth val="315"/>
        <c:overlap val="-40"/>
        <c:axId val="898195039"/>
        <c:axId val="898197919"/>
      </c:barChart>
      <c:catAx>
        <c:axId val="8981950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8197919"/>
        <c:crosses val="autoZero"/>
        <c:auto val="1"/>
        <c:lblAlgn val="ctr"/>
        <c:lblOffset val="100"/>
        <c:noMultiLvlLbl val="0"/>
      </c:catAx>
      <c:valAx>
        <c:axId val="898197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819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[car_sale_final.xlsx]Delivered pivot!PivotTable5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'Delivered pivot'!$B$1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7B-4294-AE05-E53107C3EC8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7B-4294-AE05-E53107C3EC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7B-4294-AE05-E53107C3EC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7B-4294-AE05-E53107C3EC8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17B-4294-AE05-E53107C3EC8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17B-4294-AE05-E53107C3EC8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17B-4294-AE05-E53107C3EC8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17B-4294-AE05-E53107C3EC8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17B-4294-AE05-E53107C3EC8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17B-4294-AE05-E53107C3EC8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17B-4294-AE05-E53107C3EC83}"/>
              </c:ext>
            </c:extLst>
          </c:dPt>
          <c:cat>
            <c:strRef>
              <c:f>'Delivered pivot'!$A$2:$A$13</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'Delivered pivot'!$B$2:$B$13</c:f>
              <c:numCache>
                <c:formatCode>General</c:formatCode>
                <c:ptCount val="11"/>
                <c:pt idx="0">
                  <c:v>4</c:v>
                </c:pt>
                <c:pt idx="1">
                  <c:v>4</c:v>
                </c:pt>
                <c:pt idx="2">
                  <c:v>3</c:v>
                </c:pt>
                <c:pt idx="3">
                  <c:v>5</c:v>
                </c:pt>
                <c:pt idx="4">
                  <c:v>2</c:v>
                </c:pt>
                <c:pt idx="5">
                  <c:v>3</c:v>
                </c:pt>
                <c:pt idx="6">
                  <c:v>2</c:v>
                </c:pt>
                <c:pt idx="7">
                  <c:v>3</c:v>
                </c:pt>
                <c:pt idx="8">
                  <c:v>2</c:v>
                </c:pt>
                <c:pt idx="9">
                  <c:v>3</c:v>
                </c:pt>
                <c:pt idx="10">
                  <c:v>4</c:v>
                </c:pt>
              </c:numCache>
            </c:numRef>
          </c:val>
          <c:extLst>
            <c:ext xmlns:c16="http://schemas.microsoft.com/office/drawing/2014/chart" uri="{C3380CC4-5D6E-409C-BE32-E72D297353CC}">
              <c16:uniqueId val="{00000000-7A4C-4CA4-BE3A-3A368680CE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[car_sale_final.xlsx]Sheet1!PivotTable1</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Sum of Product Cost</c:v>
                </c:pt>
              </c:strCache>
            </c:strRef>
          </c:tx>
          <c:spPr>
            <a:ln w="28575" cap="rnd">
              <a:solidFill>
                <a:schemeClr val="accent1"/>
              </a:solidFill>
              <a:round/>
            </a:ln>
            <a:effectLst/>
          </c:spPr>
          <c:marker>
            <c:symbol val="none"/>
          </c:marker>
          <c:cat>
            <c:strRef>
              <c:f>Sheet1!$A$2:$A$13</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Sheet1!$B$2:$B$13</c:f>
              <c:numCache>
                <c:formatCode>General</c:formatCode>
                <c:ptCount val="11"/>
                <c:pt idx="0">
                  <c:v>3585000</c:v>
                </c:pt>
                <c:pt idx="1">
                  <c:v>5500000</c:v>
                </c:pt>
                <c:pt idx="2">
                  <c:v>7500000</c:v>
                </c:pt>
                <c:pt idx="3">
                  <c:v>5000000</c:v>
                </c:pt>
                <c:pt idx="4">
                  <c:v>5950000</c:v>
                </c:pt>
                <c:pt idx="5">
                  <c:v>3255000</c:v>
                </c:pt>
                <c:pt idx="6">
                  <c:v>4750000</c:v>
                </c:pt>
                <c:pt idx="7">
                  <c:v>8000000</c:v>
                </c:pt>
                <c:pt idx="8">
                  <c:v>1610000</c:v>
                </c:pt>
                <c:pt idx="9">
                  <c:v>2930000</c:v>
                </c:pt>
                <c:pt idx="10">
                  <c:v>3170000</c:v>
                </c:pt>
              </c:numCache>
            </c:numRef>
          </c:val>
          <c:smooth val="0"/>
          <c:extLst>
            <c:ext xmlns:c16="http://schemas.microsoft.com/office/drawing/2014/chart" uri="{C3380CC4-5D6E-409C-BE32-E72D297353CC}">
              <c16:uniqueId val="{00000000-1CB0-41F0-9BED-BE8D31400430}"/>
            </c:ext>
          </c:extLst>
        </c:ser>
        <c:ser>
          <c:idx val="1"/>
          <c:order val="1"/>
          <c:tx>
            <c:strRef>
              <c:f>Sheet1!$C$1</c:f>
              <c:strCache>
                <c:ptCount val="1"/>
                <c:pt idx="0">
                  <c:v>Sum of Taxation &amp; Delivery Cost</c:v>
                </c:pt>
              </c:strCache>
            </c:strRef>
          </c:tx>
          <c:spPr>
            <a:ln w="28575" cap="rnd">
              <a:solidFill>
                <a:schemeClr val="accent2"/>
              </a:solidFill>
              <a:round/>
            </a:ln>
            <a:effectLst/>
          </c:spPr>
          <c:marker>
            <c:symbol val="none"/>
          </c:marker>
          <c:cat>
            <c:strRef>
              <c:f>Sheet1!$A$2:$A$13</c:f>
              <c:strCache>
                <c:ptCount val="11"/>
                <c:pt idx="0">
                  <c:v>Tata Altroz</c:v>
                </c:pt>
                <c:pt idx="1">
                  <c:v>Tata Curvv</c:v>
                </c:pt>
                <c:pt idx="2">
                  <c:v>Tata Harrier</c:v>
                </c:pt>
                <c:pt idx="3">
                  <c:v>Tata Nexon</c:v>
                </c:pt>
                <c:pt idx="4">
                  <c:v>Tata Nexon EV</c:v>
                </c:pt>
                <c:pt idx="5">
                  <c:v>Tata Punch</c:v>
                </c:pt>
                <c:pt idx="6">
                  <c:v>Tata Punch EV</c:v>
                </c:pt>
                <c:pt idx="7">
                  <c:v>Tata Safari</c:v>
                </c:pt>
                <c:pt idx="8">
                  <c:v>Tata Tiago</c:v>
                </c:pt>
                <c:pt idx="9">
                  <c:v>Tata Tiago EV</c:v>
                </c:pt>
                <c:pt idx="10">
                  <c:v>Tata Tigor</c:v>
                </c:pt>
              </c:strCache>
            </c:strRef>
          </c:cat>
          <c:val>
            <c:numRef>
              <c:f>Sheet1!$C$2:$C$13</c:f>
              <c:numCache>
                <c:formatCode>General</c:formatCode>
                <c:ptCount val="11"/>
                <c:pt idx="0">
                  <c:v>550000</c:v>
                </c:pt>
                <c:pt idx="1">
                  <c:v>908000</c:v>
                </c:pt>
                <c:pt idx="2">
                  <c:v>1288000</c:v>
                </c:pt>
                <c:pt idx="3">
                  <c:v>764000</c:v>
                </c:pt>
                <c:pt idx="4">
                  <c:v>750000</c:v>
                </c:pt>
                <c:pt idx="5">
                  <c:v>498000</c:v>
                </c:pt>
                <c:pt idx="6">
                  <c:v>648000</c:v>
                </c:pt>
                <c:pt idx="7">
                  <c:v>1388000</c:v>
                </c:pt>
                <c:pt idx="8">
                  <c:v>250000</c:v>
                </c:pt>
                <c:pt idx="9">
                  <c:v>403000</c:v>
                </c:pt>
                <c:pt idx="10">
                  <c:v>475000</c:v>
                </c:pt>
              </c:numCache>
            </c:numRef>
          </c:val>
          <c:smooth val="0"/>
          <c:extLst>
            <c:ext xmlns:c16="http://schemas.microsoft.com/office/drawing/2014/chart" uri="{C3380CC4-5D6E-409C-BE32-E72D297353CC}">
              <c16:uniqueId val="{00000001-1CB0-41F0-9BED-BE8D31400430}"/>
            </c:ext>
          </c:extLst>
        </c:ser>
        <c:dLbls>
          <c:showLegendKey val="0"/>
          <c:showVal val="0"/>
          <c:showCatName val="0"/>
          <c:showSerName val="0"/>
          <c:showPercent val="0"/>
          <c:showBubbleSize val="0"/>
        </c:dLbls>
        <c:smooth val="0"/>
        <c:axId val="1863122192"/>
        <c:axId val="1863133712"/>
      </c:lineChart>
      <c:catAx>
        <c:axId val="186312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33712"/>
        <c:crosses val="autoZero"/>
        <c:auto val="1"/>
        <c:lblAlgn val="ctr"/>
        <c:lblOffset val="100"/>
        <c:noMultiLvlLbl val="0"/>
      </c:catAx>
      <c:valAx>
        <c:axId val="186313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2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552451</xdr:colOff>
      <xdr:row>29</xdr:row>
      <xdr:rowOff>129538</xdr:rowOff>
    </xdr:from>
    <xdr:to>
      <xdr:col>17</xdr:col>
      <xdr:colOff>0</xdr:colOff>
      <xdr:row>50</xdr:row>
      <xdr:rowOff>47625</xdr:rowOff>
    </xdr:to>
    <xdr:graphicFrame macro="">
      <xdr:nvGraphicFramePr>
        <xdr:cNvPr id="2" name="Chart 1">
          <a:extLst>
            <a:ext uri="{FF2B5EF4-FFF2-40B4-BE49-F238E27FC236}">
              <a16:creationId xmlns:a16="http://schemas.microsoft.com/office/drawing/2014/main" id="{D4FB8E16-0016-4F20-8F25-B9B55E733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471768</xdr:colOff>
      <xdr:row>15</xdr:row>
      <xdr:rowOff>27622</xdr:rowOff>
    </xdr:from>
    <xdr:to>
      <xdr:col>15</xdr:col>
      <xdr:colOff>695325</xdr:colOff>
      <xdr:row>29</xdr:row>
      <xdr:rowOff>161925</xdr:rowOff>
    </xdr:to>
    <xdr:graphicFrame macro="">
      <xdr:nvGraphicFramePr>
        <xdr:cNvPr id="3" name="Chart 2">
          <a:extLst>
            <a:ext uri="{FF2B5EF4-FFF2-40B4-BE49-F238E27FC236}">
              <a16:creationId xmlns:a16="http://schemas.microsoft.com/office/drawing/2014/main" id="{AEE6408F-48E2-CAB8-4E9B-4DB49F904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44</xdr:row>
      <xdr:rowOff>67627</xdr:rowOff>
    </xdr:from>
    <xdr:to>
      <xdr:col>9</xdr:col>
      <xdr:colOff>561976</xdr:colOff>
      <xdr:row>65</xdr:row>
      <xdr:rowOff>177052</xdr:rowOff>
    </xdr:to>
    <xdr:graphicFrame macro="">
      <xdr:nvGraphicFramePr>
        <xdr:cNvPr id="5" name="Chart 4">
          <a:extLst>
            <a:ext uri="{FF2B5EF4-FFF2-40B4-BE49-F238E27FC236}">
              <a16:creationId xmlns:a16="http://schemas.microsoft.com/office/drawing/2014/main" id="{69A9C857-4878-7EE2-6726-E66B0F0DB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26670</xdr:rowOff>
    </xdr:from>
    <xdr:to>
      <xdr:col>9</xdr:col>
      <xdr:colOff>533400</xdr:colOff>
      <xdr:row>29</xdr:row>
      <xdr:rowOff>133350</xdr:rowOff>
    </xdr:to>
    <xdr:graphicFrame macro="">
      <xdr:nvGraphicFramePr>
        <xdr:cNvPr id="6" name="Chart 5">
          <a:extLst>
            <a:ext uri="{FF2B5EF4-FFF2-40B4-BE49-F238E27FC236}">
              <a16:creationId xmlns:a16="http://schemas.microsoft.com/office/drawing/2014/main" id="{154AB4E7-3B59-4AA5-A7B9-34F7C29F6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704850</xdr:colOff>
      <xdr:row>12</xdr:row>
      <xdr:rowOff>27071</xdr:rowOff>
    </xdr:from>
    <xdr:to>
      <xdr:col>17</xdr:col>
      <xdr:colOff>66675</xdr:colOff>
      <xdr:row>29</xdr:row>
      <xdr:rowOff>84221</xdr:rowOff>
    </xdr:to>
    <mc:AlternateContent xmlns:mc="http://schemas.openxmlformats.org/markup-compatibility/2006">
      <mc:Choice xmlns:a14="http://schemas.microsoft.com/office/drawing/2010/main" Requires="a14">
        <xdr:graphicFrame macro="">
          <xdr:nvGraphicFramePr>
            <xdr:cNvPr id="7" name="Model Name 2">
              <a:extLst>
                <a:ext uri="{FF2B5EF4-FFF2-40B4-BE49-F238E27FC236}">
                  <a16:creationId xmlns:a16="http://schemas.microsoft.com/office/drawing/2014/main" id="{794F7509-60D7-488D-A160-CA7CEAC2A8A2}"/>
                </a:ext>
              </a:extLst>
            </xdr:cNvPr>
            <xdr:cNvGraphicFramePr/>
          </xdr:nvGraphicFramePr>
          <xdr:xfrm>
            <a:off x="0" y="0"/>
            <a:ext cx="0" cy="0"/>
          </xdr:xfrm>
          <a:graphic>
            <a:graphicData uri="http://schemas.microsoft.com/office/drawing/2010/slicer">
              <sle:slicer xmlns:sle="http://schemas.microsoft.com/office/drawing/2010/slicer" name="Model Name 2"/>
            </a:graphicData>
          </a:graphic>
        </xdr:graphicFrame>
      </mc:Choice>
      <mc:Fallback>
        <xdr:sp macro="" textlink="">
          <xdr:nvSpPr>
            <xdr:cNvPr id="0" name=""/>
            <xdr:cNvSpPr>
              <a:spLocks noTextEdit="1"/>
            </xdr:cNvSpPr>
          </xdr:nvSpPr>
          <xdr:spPr>
            <a:xfrm>
              <a:off x="16917403" y="2894597"/>
              <a:ext cx="1748088" cy="3345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466725</xdr:colOff>
      <xdr:row>0</xdr:row>
      <xdr:rowOff>34708</xdr:rowOff>
    </xdr:from>
    <xdr:ext cx="13174744" cy="715902"/>
    <xdr:sp macro="" textlink="">
      <xdr:nvSpPr>
        <xdr:cNvPr id="11" name="Rectangle 10">
          <a:extLst>
            <a:ext uri="{FF2B5EF4-FFF2-40B4-BE49-F238E27FC236}">
              <a16:creationId xmlns:a16="http://schemas.microsoft.com/office/drawing/2014/main" id="{AB484B27-AF1D-D63D-5BA9-BA22226569BE}"/>
            </a:ext>
          </a:extLst>
        </xdr:cNvPr>
        <xdr:cNvSpPr/>
      </xdr:nvSpPr>
      <xdr:spPr>
        <a:xfrm>
          <a:off x="2505075" y="34708"/>
          <a:ext cx="13174744" cy="715902"/>
        </a:xfrm>
        <a:prstGeom prst="rect">
          <a:avLst/>
        </a:prstGeom>
        <a:noFill/>
      </xdr:spPr>
      <xdr:txBody>
        <a:bodyPr wrap="square" lIns="91440" tIns="45720" rIns="91440" bIns="45720" anchor="ctr">
          <a:spAutoFit/>
        </a:bodyPr>
        <a:lstStyle/>
        <a:p>
          <a:pPr algn="ctr"/>
          <a:r>
            <a:rPr lang="en-US" sz="3600" b="0" cap="none" spc="0">
              <a:ln w="0"/>
              <a:solidFill>
                <a:schemeClr val="bg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cs typeface="Arial" panose="020B0604020202020204" pitchFamily="34" charset="0"/>
            </a:rPr>
            <a:t>TATA Sales Revenue Dashboard with KPI Tracker</a:t>
          </a:r>
        </a:p>
      </xdr:txBody>
    </xdr:sp>
    <xdr:clientData/>
  </xdr:oneCellAnchor>
  <xdr:twoCellAnchor>
    <xdr:from>
      <xdr:col>0</xdr:col>
      <xdr:colOff>19050</xdr:colOff>
      <xdr:row>29</xdr:row>
      <xdr:rowOff>133350</xdr:rowOff>
    </xdr:from>
    <xdr:to>
      <xdr:col>9</xdr:col>
      <xdr:colOff>571500</xdr:colOff>
      <xdr:row>44</xdr:row>
      <xdr:rowOff>114300</xdr:rowOff>
    </xdr:to>
    <xdr:graphicFrame macro="">
      <xdr:nvGraphicFramePr>
        <xdr:cNvPr id="8" name="Chart 7">
          <a:extLst>
            <a:ext uri="{FF2B5EF4-FFF2-40B4-BE49-F238E27FC236}">
              <a16:creationId xmlns:a16="http://schemas.microsoft.com/office/drawing/2014/main" id="{13219887-468D-4D7E-9FBB-0ED2FB32A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95251</xdr:rowOff>
    </xdr:from>
    <xdr:to>
      <xdr:col>1</xdr:col>
      <xdr:colOff>1187824</xdr:colOff>
      <xdr:row>3</xdr:row>
      <xdr:rowOff>83510</xdr:rowOff>
    </xdr:to>
    <xdr:pic>
      <xdr:nvPicPr>
        <xdr:cNvPr id="9" name="Picture 8">
          <a:extLst>
            <a:ext uri="{FF2B5EF4-FFF2-40B4-BE49-F238E27FC236}">
              <a16:creationId xmlns:a16="http://schemas.microsoft.com/office/drawing/2014/main" id="{B6586C94-61AA-73F0-F60F-1F48841B4B0B}"/>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0" y="95251"/>
          <a:ext cx="1905000" cy="531184"/>
        </a:xfrm>
        <a:prstGeom prst="rect">
          <a:avLst/>
        </a:prstGeom>
      </xdr:spPr>
    </xdr:pic>
    <xdr:clientData/>
  </xdr:twoCellAnchor>
  <xdr:twoCellAnchor editAs="oneCell">
    <xdr:from>
      <xdr:col>13</xdr:col>
      <xdr:colOff>1057835</xdr:colOff>
      <xdr:row>4</xdr:row>
      <xdr:rowOff>9525</xdr:rowOff>
    </xdr:from>
    <xdr:to>
      <xdr:col>17</xdr:col>
      <xdr:colOff>0</xdr:colOff>
      <xdr:row>7</xdr:row>
      <xdr:rowOff>190500</xdr:rowOff>
    </xdr:to>
    <xdr:pic>
      <xdr:nvPicPr>
        <xdr:cNvPr id="12" name="Picture 11">
          <a:extLst>
            <a:ext uri="{FF2B5EF4-FFF2-40B4-BE49-F238E27FC236}">
              <a16:creationId xmlns:a16="http://schemas.microsoft.com/office/drawing/2014/main" id="{86581010-D7D7-9E30-C3FE-C384D3CA6E7B}"/>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9924" t="45534" r="39829" b="45969"/>
        <a:stretch>
          <a:fillRect/>
        </a:stretch>
      </xdr:blipFill>
      <xdr:spPr>
        <a:xfrm>
          <a:off x="13832541" y="726701"/>
          <a:ext cx="2796989" cy="1122270"/>
        </a:xfrm>
        <a:prstGeom prst="rect">
          <a:avLst/>
        </a:prstGeom>
        <a:ln>
          <a:solidFill>
            <a:schemeClr val="bg1"/>
          </a:solidFill>
        </a:ln>
      </xdr:spPr>
    </xdr:pic>
    <xdr:clientData/>
  </xdr:twoCellAnchor>
  <xdr:twoCellAnchor editAs="oneCell">
    <xdr:from>
      <xdr:col>8</xdr:col>
      <xdr:colOff>90236</xdr:colOff>
      <xdr:row>11</xdr:row>
      <xdr:rowOff>50131</xdr:rowOff>
    </xdr:from>
    <xdr:to>
      <xdr:col>9</xdr:col>
      <xdr:colOff>641686</xdr:colOff>
      <xdr:row>14</xdr:row>
      <xdr:rowOff>90237</xdr:rowOff>
    </xdr:to>
    <xdr:pic>
      <xdr:nvPicPr>
        <xdr:cNvPr id="13" name="Picture 12">
          <a:extLst>
            <a:ext uri="{FF2B5EF4-FFF2-40B4-BE49-F238E27FC236}">
              <a16:creationId xmlns:a16="http://schemas.microsoft.com/office/drawing/2014/main" id="{20FAC9C4-E507-36F1-4B1E-A38F67F0E2A4}"/>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5142" t="28215" r="2904" b="25393"/>
        <a:stretch>
          <a:fillRect/>
        </a:stretch>
      </xdr:blipFill>
      <xdr:spPr>
        <a:xfrm>
          <a:off x="8111289" y="2677026"/>
          <a:ext cx="1383634" cy="741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10</xdr:row>
      <xdr:rowOff>87630</xdr:rowOff>
    </xdr:from>
    <xdr:to>
      <xdr:col>21</xdr:col>
      <xdr:colOff>274320</xdr:colOff>
      <xdr:row>25</xdr:row>
      <xdr:rowOff>87630</xdr:rowOff>
    </xdr:to>
    <xdr:graphicFrame macro="">
      <xdr:nvGraphicFramePr>
        <xdr:cNvPr id="2" name="Chart 1">
          <a:extLst>
            <a:ext uri="{FF2B5EF4-FFF2-40B4-BE49-F238E27FC236}">
              <a16:creationId xmlns:a16="http://schemas.microsoft.com/office/drawing/2014/main" id="{E7FE9B11-5559-41C2-85D0-464C4A5C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236220</xdr:colOff>
      <xdr:row>1</xdr:row>
      <xdr:rowOff>106680</xdr:rowOff>
    </xdr:from>
    <xdr:to>
      <xdr:col>20</xdr:col>
      <xdr:colOff>312420</xdr:colOff>
      <xdr:row>9</xdr:row>
      <xdr:rowOff>137159</xdr:rowOff>
    </xdr:to>
    <mc:AlternateContent xmlns:mc="http://schemas.openxmlformats.org/markup-compatibility/2006" xmlns:a14="http://schemas.microsoft.com/office/drawing/2010/main">
      <mc:Choice Requires="a14">
        <xdr:graphicFrame macro="">
          <xdr:nvGraphicFramePr>
            <xdr:cNvPr id="3" name="Model Name">
              <a:extLst>
                <a:ext uri="{FF2B5EF4-FFF2-40B4-BE49-F238E27FC236}">
                  <a16:creationId xmlns:a16="http://schemas.microsoft.com/office/drawing/2014/main" id="{5C640FA0-6B54-38CF-C7D0-33871B7E6CB0}"/>
                </a:ext>
              </a:extLst>
            </xdr:cNvPr>
            <xdr:cNvGraphicFramePr/>
          </xdr:nvGraphicFramePr>
          <xdr:xfrm>
            <a:off x="0" y="0"/>
            <a:ext cx="0" cy="0"/>
          </xdr:xfrm>
          <a:graphic>
            <a:graphicData uri="http://schemas.microsoft.com/office/drawing/2010/slicer">
              <sle:slicer xmlns:sle="http://schemas.microsoft.com/office/drawing/2010/slicer" name="Model Name"/>
            </a:graphicData>
          </a:graphic>
        </xdr:graphicFrame>
      </mc:Choice>
      <mc:Fallback xmlns="">
        <xdr:sp macro="" textlink="">
          <xdr:nvSpPr>
            <xdr:cNvPr id="0" name=""/>
            <xdr:cNvSpPr>
              <a:spLocks noTextEdit="1"/>
            </xdr:cNvSpPr>
          </xdr:nvSpPr>
          <xdr:spPr>
            <a:xfrm>
              <a:off x="5981700" y="289560"/>
              <a:ext cx="583692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411480</xdr:colOff>
      <xdr:row>4</xdr:row>
      <xdr:rowOff>175260</xdr:rowOff>
    </xdr:from>
    <xdr:to>
      <xdr:col>14</xdr:col>
      <xdr:colOff>510540</xdr:colOff>
      <xdr:row>19</xdr:row>
      <xdr:rowOff>175260</xdr:rowOff>
    </xdr:to>
    <xdr:graphicFrame macro="">
      <xdr:nvGraphicFramePr>
        <xdr:cNvPr id="2" name="Chart 1">
          <a:extLst>
            <a:ext uri="{FF2B5EF4-FFF2-40B4-BE49-F238E27FC236}">
              <a16:creationId xmlns:a16="http://schemas.microsoft.com/office/drawing/2014/main" id="{5E4EB0EC-60B3-F54B-E332-9C3884A4A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106680</xdr:colOff>
      <xdr:row>5</xdr:row>
      <xdr:rowOff>175260</xdr:rowOff>
    </xdr:from>
    <xdr:to>
      <xdr:col>19</xdr:col>
      <xdr:colOff>167640</xdr:colOff>
      <xdr:row>18</xdr:row>
      <xdr:rowOff>45719</xdr:rowOff>
    </xdr:to>
    <mc:AlternateContent xmlns:mc="http://schemas.openxmlformats.org/markup-compatibility/2006" xmlns:a14="http://schemas.microsoft.com/office/drawing/2010/main">
      <mc:Choice Requires="a14">
        <xdr:graphicFrame macro="">
          <xdr:nvGraphicFramePr>
            <xdr:cNvPr id="3" name="Model Name 1">
              <a:extLst>
                <a:ext uri="{FF2B5EF4-FFF2-40B4-BE49-F238E27FC236}">
                  <a16:creationId xmlns:a16="http://schemas.microsoft.com/office/drawing/2014/main" id="{9B907A8A-C7DC-946C-5CA2-93BE5017FDFF}"/>
                </a:ext>
              </a:extLst>
            </xdr:cNvPr>
            <xdr:cNvGraphicFramePr/>
          </xdr:nvGraphicFramePr>
          <xdr:xfrm>
            <a:off x="0" y="0"/>
            <a:ext cx="0" cy="0"/>
          </xdr:xfrm>
          <a:graphic>
            <a:graphicData uri="http://schemas.microsoft.com/office/drawing/2010/slicer">
              <sle:slicer xmlns:sle="http://schemas.microsoft.com/office/drawing/2010/slicer" name="Model Name 1"/>
            </a:graphicData>
          </a:graphic>
        </xdr:graphicFrame>
      </mc:Choice>
      <mc:Fallback xmlns="">
        <xdr:sp macro="" textlink="">
          <xdr:nvSpPr>
            <xdr:cNvPr id="0" name=""/>
            <xdr:cNvSpPr>
              <a:spLocks noTextEdit="1"/>
            </xdr:cNvSpPr>
          </xdr:nvSpPr>
          <xdr:spPr>
            <a:xfrm>
              <a:off x="10538460" y="1089660"/>
              <a:ext cx="249936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693420</xdr:colOff>
      <xdr:row>6</xdr:row>
      <xdr:rowOff>3810</xdr:rowOff>
    </xdr:from>
    <xdr:to>
      <xdr:col>10</xdr:col>
      <xdr:colOff>510540</xdr:colOff>
      <xdr:row>21</xdr:row>
      <xdr:rowOff>3810</xdr:rowOff>
    </xdr:to>
    <xdr:graphicFrame macro="">
      <xdr:nvGraphicFramePr>
        <xdr:cNvPr id="4" name="Chart 3">
          <a:extLst>
            <a:ext uri="{FF2B5EF4-FFF2-40B4-BE49-F238E27FC236}">
              <a16:creationId xmlns:a16="http://schemas.microsoft.com/office/drawing/2014/main" id="{09D3C940-E607-027D-5FB5-9CF45F4DA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0.945450231484" createdVersion="8" refreshedVersion="8" minRefreshableVersion="3" recordCount="50" xr:uid="{3A1D3EBA-AEB1-416D-9E3F-4E13AF8DA57B}">
  <cacheSource type="worksheet">
    <worksheetSource name="Table1"/>
  </cacheSource>
  <cacheFields count="9">
    <cacheField name="SL No." numFmtId="0">
      <sharedItems containsSemiMixedTypes="0" containsString="0" containsNumber="1" containsInteger="1" minValue="1" maxValue="50"/>
    </cacheField>
    <cacheField name="Product_ID" numFmtId="0">
      <sharedItems count="50">
        <s v="TATA001"/>
        <s v="TATA002"/>
        <s v="TATA003"/>
        <s v="TATA004"/>
        <s v="TATA005"/>
        <s v="TATA006"/>
        <s v="TATA007"/>
        <s v="TATA008"/>
        <s v="TATA009"/>
        <s v="TATA010"/>
        <s v="TATA011"/>
        <s v="TATA012"/>
        <s v="TATA013"/>
        <s v="TATA014"/>
        <s v="TATA015"/>
        <s v="TATA016"/>
        <s v="TATA017"/>
        <s v="TATA018"/>
        <s v="TATA019"/>
        <s v="TATA020"/>
        <s v="TATA021"/>
        <s v="TATA022"/>
        <s v="TATA023"/>
        <s v="TATA024"/>
        <s v="TATA025"/>
        <s v="TATA026"/>
        <s v="TATA027"/>
        <s v="TATA028"/>
        <s v="TATA029"/>
        <s v="TATA030"/>
        <s v="TATA031"/>
        <s v="TATA032"/>
        <s v="TATA033"/>
        <s v="TATA034"/>
        <s v="TATA035"/>
        <s v="TATA036"/>
        <s v="TATA037"/>
        <s v="TATA038"/>
        <s v="TATA039"/>
        <s v="TATA040"/>
        <s v="TATA041"/>
        <s v="TATA042"/>
        <s v="TATA043"/>
        <s v="TATA044"/>
        <s v="TATA045"/>
        <s v="TATA046"/>
        <s v="TATA047"/>
        <s v="TATA048"/>
        <s v="TATA049"/>
        <s v="TATA050"/>
      </sharedItems>
    </cacheField>
    <cacheField name="City_Category" numFmtId="0">
      <sharedItems count="3">
        <s v="Metro"/>
        <s v="Tier 1"/>
        <s v="Tier 2"/>
      </sharedItems>
    </cacheField>
    <cacheField name="Batch" numFmtId="0">
      <sharedItems count="25">
        <s v="B001"/>
        <s v="B002"/>
        <s v="B003"/>
        <s v="B004"/>
        <s v="B005"/>
        <s v="B006"/>
        <s v="B007"/>
        <s v="B008"/>
        <s v="B009"/>
        <s v="B010"/>
        <s v="B011"/>
        <s v="B012"/>
        <s v="B013"/>
        <s v="B014"/>
        <s v="B015"/>
        <s v="B016"/>
        <s v="B017"/>
        <s v="B018"/>
        <s v="B019"/>
        <s v="B020"/>
        <s v="B021"/>
        <s v="B022"/>
        <s v="B023"/>
        <s v="B024"/>
        <s v="B025"/>
      </sharedItems>
    </cacheField>
    <cacheField name="Model Name" numFmtId="0">
      <sharedItems count="11">
        <s v="Tata Nexon"/>
        <s v="Tata Punch"/>
        <s v="Tata Tiago"/>
        <s v="Tata Harrier"/>
        <s v="Tata Safari"/>
        <s v="Tata Altroz"/>
        <s v="Tata Tigor"/>
        <s v="Tata Curvv"/>
        <s v="Tata Nexon EV"/>
        <s v="Tata Punch EV"/>
        <s v="Tata Tiago EV"/>
      </sharedItems>
    </cacheField>
    <cacheField name="Delivery Status" numFmtId="0">
      <sharedItems count="3">
        <s v="Delivered"/>
        <s v="Pending"/>
        <s v="In Transit"/>
      </sharedItems>
    </cacheField>
    <cacheField name="Product Cost" numFmtId="0">
      <sharedItems containsSemiMixedTypes="0" containsString="0" containsNumber="1" containsInteger="1" minValue="520000" maxValue="1650000" count="43">
        <n v="780000"/>
        <n v="620000"/>
        <n v="520000"/>
        <n v="1450000"/>
        <n v="1550000"/>
        <n v="680000"/>
        <n v="610000"/>
        <n v="1050000"/>
        <n v="1150000"/>
        <n v="950000"/>
        <n v="720000"/>
        <n v="820000"/>
        <n v="1520000"/>
        <n v="1620000"/>
        <n v="650000"/>
        <n v="1100000"/>
        <n v="630000"/>
        <n v="540000"/>
        <n v="1480000"/>
        <n v="1180000"/>
        <n v="700000"/>
        <n v="800000"/>
        <n v="1580000"/>
        <n v="635000"/>
        <n v="1080000"/>
        <n v="980000"/>
        <n v="625000"/>
        <n v="850000"/>
        <n v="1500000"/>
        <n v="1200000"/>
        <n v="750000"/>
        <n v="1600000"/>
        <n v="670000"/>
        <n v="1120000"/>
        <n v="550000"/>
        <n v="645000"/>
        <n v="870000"/>
        <n v="1220000"/>
        <n v="735000"/>
        <n v="1650000"/>
        <n v="1000000"/>
        <n v="660000"/>
        <n v="880000"/>
      </sharedItems>
    </cacheField>
    <cacheField name="Taxation &amp; Delivery Cost" numFmtId="0">
      <sharedItems containsSemiMixedTypes="0" containsString="0" containsNumber="1" containsInteger="1" minValue="80000" maxValue="285000" count="42">
        <n v="120000"/>
        <n v="95000"/>
        <n v="80000"/>
        <n v="250000"/>
        <n v="270000"/>
        <n v="105000"/>
        <n v="90000"/>
        <n v="175000"/>
        <n v="180000"/>
        <n v="155000"/>
        <n v="130000"/>
        <n v="110000"/>
        <n v="125000"/>
        <n v="260000"/>
        <n v="280000"/>
        <n v="100000"/>
        <n v="85000"/>
        <n v="185000"/>
        <n v="160000"/>
        <n v="108000"/>
        <n v="122000"/>
        <n v="255000"/>
        <n v="275000"/>
        <n v="97000"/>
        <n v="178000"/>
        <n v="135000"/>
        <n v="92000"/>
        <n v="190000"/>
        <n v="165000"/>
        <n v="115000"/>
        <n v="265000"/>
        <n v="278000"/>
        <n v="102000"/>
        <n v="98000"/>
        <n v="132000"/>
        <n v="195000"/>
        <n v="168000"/>
        <n v="112000"/>
        <n v="258000"/>
        <n v="285000"/>
        <n v="104000"/>
        <n v="138000"/>
      </sharedItems>
    </cacheField>
    <cacheField name="Final Price" numFmtId="0">
      <sharedItems containsSemiMixedTypes="0" containsString="0" containsNumber="1" containsInteger="1" minValue="600000" maxValue="1935000"/>
    </cacheField>
  </cacheFields>
  <extLst>
    <ext xmlns:x14="http://schemas.microsoft.com/office/spreadsheetml/2009/9/main" uri="{725AE2AE-9491-48be-B2B4-4EB974FC3084}">
      <x14:pivotCacheDefinition pivotCacheId="6120240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1.541025347222" createdVersion="8" refreshedVersion="8" minRefreshableVersion="3" recordCount="35" xr:uid="{350399D5-797E-4FAC-8286-4B8797F421A7}">
  <cacheSource type="worksheet">
    <worksheetSource ref="A1:G36" sheet="Sale_Report_Delivered"/>
  </cacheSource>
  <cacheFields count="7">
    <cacheField name="Product_ID" numFmtId="0">
      <sharedItems/>
    </cacheField>
    <cacheField name="City_Category" numFmtId="0">
      <sharedItems/>
    </cacheField>
    <cacheField name="Batch" numFmtId="0">
      <sharedItems/>
    </cacheField>
    <cacheField name="Model Name" numFmtId="0">
      <sharedItems count="11">
        <s v="Tata Nexon"/>
        <s v="Tata Punch"/>
        <s v="Tata Tiago"/>
        <s v="Tata Harrier"/>
        <s v="Tata Altroz"/>
        <s v="Tata Tigor"/>
        <s v="Tata Nexon EV"/>
        <s v="Tata Tiago EV"/>
        <s v="Tata Safari"/>
        <s v="Tata Curvv"/>
        <s v="Tata Punch EV"/>
      </sharedItems>
    </cacheField>
    <cacheField name="Delivery Status" numFmtId="0">
      <sharedItems count="1">
        <s v="Delivered"/>
      </sharedItems>
    </cacheField>
    <cacheField name="Product Cost" numFmtId="0">
      <sharedItems containsSemiMixedTypes="0" containsString="0" containsNumber="1" containsInteger="1" minValue="520000" maxValue="1650000"/>
    </cacheField>
    <cacheField name="Final Price" numFmtId="164">
      <sharedItems containsSemiMixedTypes="0" containsString="0" containsNumber="1" containsInteger="1" minValue="600000" maxValue="1935000"/>
    </cacheField>
  </cacheFields>
  <extLst>
    <ext xmlns:x14="http://schemas.microsoft.com/office/spreadsheetml/2009/9/main" uri="{725AE2AE-9491-48be-B2B4-4EB974FC3084}">
      <x14:pivotCacheDefinition pivotCacheId="119400316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919589467594" backgroundQuery="1" createdVersion="8" refreshedVersion="8" minRefreshableVersion="3" recordCount="0" supportSubquery="1" supportAdvancedDrill="1" xr:uid="{35CD2966-453A-4A2B-B193-CCC873D857CF}">
  <cacheSource type="external" connectionId="1"/>
  <cacheFields count="3">
    <cacheField name="[Table3].[City].[City]" caption="City" numFmtId="0" hierarchy="4" level="1">
      <sharedItems count="3">
        <s v="Metro"/>
        <s v="Tier 1"/>
        <s v="Tier 2"/>
      </sharedItems>
    </cacheField>
    <cacheField name="[Measures].[Sum of Cars Sold]" caption="Sum of Cars Sold" numFmtId="0" hierarchy="14" level="32767"/>
    <cacheField name="[Table3].[Cars Sold].[Cars Sold]" caption="Cars Sold" numFmtId="0" hierarchy="5" level="1">
      <sharedItems containsSemiMixedTypes="0" containsNonDate="0" containsString="0"/>
    </cacheField>
  </cacheFields>
  <cacheHierarchies count="17">
    <cacheHierarchy uniqueName="[Table2].[Model]" caption="Model" attribute="1" defaultMemberUniqueName="[Table2].[Model].[All]" allUniqueName="[Table2].[Model].[All]" dimensionUniqueName="[Table2]" displayFolder="" count="0" memberValueDatatype="130" unbalanced="0"/>
    <cacheHierarchy uniqueName="[Table2].[Delivered]" caption="Delivered" attribute="1" defaultMemberUniqueName="[Table2].[Delivered].[All]" allUniqueName="[Table2].[Delivered].[All]" dimensionUniqueName="[Table2]" displayFolder="" count="0" memberValueDatatype="20" unbalanced="0"/>
    <cacheHierarchy uniqueName="[Table2].[Pending]" caption="Pending" attribute="1" defaultMemberUniqueName="[Table2].[Pending].[All]" allUniqueName="[Table2].[Pending].[All]" dimensionUniqueName="[Table2]" displayFolder="" count="0" memberValueDatatype="20" unbalanced="0"/>
    <cacheHierarchy uniqueName="[Table2].[In Transit]" caption="In Transit" attribute="1" defaultMemberUniqueName="[Table2].[In Transit].[All]" allUniqueName="[Table2].[In Transit].[All]" dimensionUniqueName="[Table2]" displayFolder="" count="0" memberValueDatatype="20" unbalanced="0"/>
    <cacheHierarchy uniqueName="[Table3].[City]" caption="City" attribute="1" defaultMemberUniqueName="[Table3].[City].[All]" allUniqueName="[Table3].[City].[All]" dimensionUniqueName="[Table3]" displayFolder="" count="2" memberValueDatatype="130" unbalanced="0">
      <fieldsUsage count="2">
        <fieldUsage x="-1"/>
        <fieldUsage x="0"/>
      </fieldsUsage>
    </cacheHierarchy>
    <cacheHierarchy uniqueName="[Table3].[Cars Sold]" caption="Cars Sold" attribute="1" defaultMemberUniqueName="[Table3].[Cars Sold].[All]" allUniqueName="[Table3].[Cars Sold].[All]" dimensionUniqueName="[Table3]" displayFolder="" count="2" memberValueDatatype="20" unbalanced="0">
      <fieldsUsage count="2">
        <fieldUsage x="-1"/>
        <fieldUsage x="2"/>
      </fieldsUsage>
    </cacheHierarchy>
    <cacheHierarchy uniqueName="[Table3].[Total Sales]" caption="Total Sales" attribute="1" defaultMemberUniqueName="[Table3].[Total Sales].[All]" allUniqueName="[Table3].[Total Sales].[All]" dimensionUniqueName="[Table3]" displayFolder="" count="0" memberValueDatatype="20" unbalanced="0"/>
    <cacheHierarchy uniqueName="[Table3].[Average Sale Price]" caption="Average Sale Price" attribute="1" defaultMemberUniqueName="[Table3].[Average Sale Price].[All]" allUniqueName="[Table3].[Average Sale Price].[All]" dimensionUniqueName="[Table3]" displayFolder="" count="0" memberValueDatatype="5"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Delivered]" caption="Sum of Delivered" measure="1" displayFolder="" measureGroup="Table2" count="0" hidden="1">
      <extLst>
        <ext xmlns:x15="http://schemas.microsoft.com/office/spreadsheetml/2010/11/main" uri="{B97F6D7D-B522-45F9-BDA1-12C45D357490}">
          <x15:cacheHierarchy aggregatedColumn="1"/>
        </ext>
      </extLst>
    </cacheHierarchy>
    <cacheHierarchy uniqueName="[Measures].[Sum of Pending]" caption="Sum of Pending" measure="1" displayFolder="" measureGroup="Table2" count="0" hidden="1">
      <extLst>
        <ext xmlns:x15="http://schemas.microsoft.com/office/spreadsheetml/2010/11/main" uri="{B97F6D7D-B522-45F9-BDA1-12C45D357490}">
          <x15:cacheHierarchy aggregatedColumn="2"/>
        </ext>
      </extLst>
    </cacheHierarchy>
    <cacheHierarchy uniqueName="[Measures].[Sum of In Transit]" caption="Sum of In Transit" measure="1" displayFolder="" measureGroup="Table2" count="0" hidden="1">
      <extLst>
        <ext xmlns:x15="http://schemas.microsoft.com/office/spreadsheetml/2010/11/main" uri="{B97F6D7D-B522-45F9-BDA1-12C45D357490}">
          <x15:cacheHierarchy aggregatedColumn="3"/>
        </ext>
      </extLst>
    </cacheHierarchy>
    <cacheHierarchy uniqueName="[Measures].[Sum of Cars Sold]" caption="Sum of Cars Sold" measure="1" displayFolder="" measureGroup="Table3"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verage Sale Price]" caption="Sum of Average Sale Price" measure="1" displayFolder="" measureGroup="Table3" count="0" hidden="1">
      <extLst>
        <ext xmlns:x15="http://schemas.microsoft.com/office/spreadsheetml/2010/11/main" uri="{B97F6D7D-B522-45F9-BDA1-12C45D357490}">
          <x15:cacheHierarchy aggregatedColumn="7"/>
        </ext>
      </extLst>
    </cacheHierarchy>
    <cacheHierarchy uniqueName="[Measures].[Sum of Total Sales]" caption="Sum of Total Sales" measure="1" displayFolder="" measureGroup="Table3"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1.919588657409" backgroundQuery="1" createdVersion="8" refreshedVersion="8" minRefreshableVersion="3" recordCount="0" supportSubquery="1" supportAdvancedDrill="1" xr:uid="{F7C240B9-7FA6-4C59-8B8C-54439229558A}">
  <cacheSource type="external" connectionId="1"/>
  <cacheFields count="2">
    <cacheField name="[Table3].[City].[City]" caption="City" numFmtId="0" hierarchy="4" level="1">
      <sharedItems count="3">
        <s v="Tier 1"/>
        <s v="Tier 2"/>
        <s v="Metro" u="1"/>
      </sharedItems>
    </cacheField>
    <cacheField name="[Measures].[Sum of Cars Sold]" caption="Sum of Cars Sold" numFmtId="0" hierarchy="14" level="32767"/>
  </cacheFields>
  <cacheHierarchies count="17">
    <cacheHierarchy uniqueName="[Table2].[Model]" caption="Model" attribute="1" defaultMemberUniqueName="[Table2].[Model].[All]" allUniqueName="[Table2].[Model].[All]" dimensionUniqueName="[Table2]" displayFolder="" count="0" memberValueDatatype="130" unbalanced="0"/>
    <cacheHierarchy uniqueName="[Table2].[Delivered]" caption="Delivered" attribute="1" defaultMemberUniqueName="[Table2].[Delivered].[All]" allUniqueName="[Table2].[Delivered].[All]" dimensionUniqueName="[Table2]" displayFolder="" count="0" memberValueDatatype="20" unbalanced="0"/>
    <cacheHierarchy uniqueName="[Table2].[Pending]" caption="Pending" attribute="1" defaultMemberUniqueName="[Table2].[Pending].[All]" allUniqueName="[Table2].[Pending].[All]" dimensionUniqueName="[Table2]" displayFolder="" count="0" memberValueDatatype="20" unbalanced="0"/>
    <cacheHierarchy uniqueName="[Table2].[In Transit]" caption="In Transit" attribute="1" defaultMemberUniqueName="[Table2].[In Transit].[All]" allUniqueName="[Table2].[In Transit].[All]" dimensionUniqueName="[Table2]" displayFolder="" count="0" memberValueDatatype="20" unbalanced="0"/>
    <cacheHierarchy uniqueName="[Table3].[City]" caption="City" attribute="1" defaultMemberUniqueName="[Table3].[City].[All]" allUniqueName="[Table3].[City].[All]" dimensionUniqueName="[Table3]" displayFolder="" count="2" memberValueDatatype="130" unbalanced="0">
      <fieldsUsage count="2">
        <fieldUsage x="-1"/>
        <fieldUsage x="0"/>
      </fieldsUsage>
    </cacheHierarchy>
    <cacheHierarchy uniqueName="[Table3].[Cars Sold]" caption="Cars Sold" attribute="1" defaultMemberUniqueName="[Table3].[Cars Sold].[All]" allUniqueName="[Table3].[Cars Sold].[All]" dimensionUniqueName="[Table3]" displayFolder="" count="0" memberValueDatatype="20" unbalanced="0"/>
    <cacheHierarchy uniqueName="[Table3].[Total Sales]" caption="Total Sales" attribute="1" defaultMemberUniqueName="[Table3].[Total Sales].[All]" allUniqueName="[Table3].[Total Sales].[All]" dimensionUniqueName="[Table3]" displayFolder="" count="0" memberValueDatatype="20" unbalanced="0"/>
    <cacheHierarchy uniqueName="[Table3].[Average Sale Price]" caption="Average Sale Price" attribute="1" defaultMemberUniqueName="[Table3].[Average Sale Price].[All]" allUniqueName="[Table3].[Average Sale Price].[All]" dimensionUniqueName="[Table3]" displayFolder="" count="0" memberValueDatatype="5"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Delivered]" caption="Sum of Delivered" measure="1" displayFolder="" measureGroup="Table2" count="0" hidden="1">
      <extLst>
        <ext xmlns:x15="http://schemas.microsoft.com/office/spreadsheetml/2010/11/main" uri="{B97F6D7D-B522-45F9-BDA1-12C45D357490}">
          <x15:cacheHierarchy aggregatedColumn="1"/>
        </ext>
      </extLst>
    </cacheHierarchy>
    <cacheHierarchy uniqueName="[Measures].[Sum of Pending]" caption="Sum of Pending" measure="1" displayFolder="" measureGroup="Table2" count="0" hidden="1">
      <extLst>
        <ext xmlns:x15="http://schemas.microsoft.com/office/spreadsheetml/2010/11/main" uri="{B97F6D7D-B522-45F9-BDA1-12C45D357490}">
          <x15:cacheHierarchy aggregatedColumn="2"/>
        </ext>
      </extLst>
    </cacheHierarchy>
    <cacheHierarchy uniqueName="[Measures].[Sum of In Transit]" caption="Sum of In Transit" measure="1" displayFolder="" measureGroup="Table2" count="0" hidden="1">
      <extLst>
        <ext xmlns:x15="http://schemas.microsoft.com/office/spreadsheetml/2010/11/main" uri="{B97F6D7D-B522-45F9-BDA1-12C45D357490}">
          <x15:cacheHierarchy aggregatedColumn="3"/>
        </ext>
      </extLst>
    </cacheHierarchy>
    <cacheHierarchy uniqueName="[Measures].[Sum of Cars Sold]" caption="Sum of Cars Sold" measure="1" displayFolder="" measureGroup="Table3"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verage Sale Price]" caption="Sum of Average Sale Price" measure="1" displayFolder="" measureGroup="Table3" count="0" hidden="1">
      <extLst>
        <ext xmlns:x15="http://schemas.microsoft.com/office/spreadsheetml/2010/11/main" uri="{B97F6D7D-B522-45F9-BDA1-12C45D357490}">
          <x15:cacheHierarchy aggregatedColumn="7"/>
        </ext>
      </extLst>
    </cacheHierarchy>
    <cacheHierarchy uniqueName="[Measures].[Sum of Total Sales]" caption="Sum of Total Sales" measure="1" displayFolder="" measureGroup="Table3"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3" uniqueName="[Table3]" caption="Table3"/>
  </dimensions>
  <measureGroups count="2">
    <measureGroup name="Table2" caption="Table2"/>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x v="0"/>
    <x v="0"/>
    <x v="0"/>
    <x v="0"/>
    <n v="900000"/>
  </r>
  <r>
    <n v="2"/>
    <x v="1"/>
    <x v="1"/>
    <x v="0"/>
    <x v="1"/>
    <x v="0"/>
    <x v="1"/>
    <x v="1"/>
    <n v="715000"/>
  </r>
  <r>
    <n v="3"/>
    <x v="2"/>
    <x v="2"/>
    <x v="1"/>
    <x v="2"/>
    <x v="0"/>
    <x v="2"/>
    <x v="2"/>
    <n v="600000"/>
  </r>
  <r>
    <n v="4"/>
    <x v="3"/>
    <x v="0"/>
    <x v="1"/>
    <x v="3"/>
    <x v="0"/>
    <x v="3"/>
    <x v="3"/>
    <n v="1700000"/>
  </r>
  <r>
    <n v="5"/>
    <x v="4"/>
    <x v="1"/>
    <x v="2"/>
    <x v="4"/>
    <x v="1"/>
    <x v="4"/>
    <x v="4"/>
    <n v="1820000"/>
  </r>
  <r>
    <n v="6"/>
    <x v="5"/>
    <x v="0"/>
    <x v="2"/>
    <x v="5"/>
    <x v="0"/>
    <x v="5"/>
    <x v="5"/>
    <n v="785000"/>
  </r>
  <r>
    <n v="7"/>
    <x v="6"/>
    <x v="2"/>
    <x v="3"/>
    <x v="6"/>
    <x v="0"/>
    <x v="6"/>
    <x v="6"/>
    <n v="700000"/>
  </r>
  <r>
    <n v="8"/>
    <x v="7"/>
    <x v="1"/>
    <x v="3"/>
    <x v="7"/>
    <x v="1"/>
    <x v="7"/>
    <x v="7"/>
    <n v="1225000"/>
  </r>
  <r>
    <n v="9"/>
    <x v="8"/>
    <x v="0"/>
    <x v="4"/>
    <x v="8"/>
    <x v="0"/>
    <x v="3"/>
    <x v="8"/>
    <n v="1630000"/>
  </r>
  <r>
    <n v="10"/>
    <x v="9"/>
    <x v="2"/>
    <x v="4"/>
    <x v="9"/>
    <x v="2"/>
    <x v="8"/>
    <x v="9"/>
    <n v="1305000"/>
  </r>
  <r>
    <n v="11"/>
    <x v="10"/>
    <x v="0"/>
    <x v="5"/>
    <x v="10"/>
    <x v="0"/>
    <x v="9"/>
    <x v="10"/>
    <n v="1080000"/>
  </r>
  <r>
    <n v="12"/>
    <x v="11"/>
    <x v="1"/>
    <x v="5"/>
    <x v="5"/>
    <x v="0"/>
    <x v="10"/>
    <x v="11"/>
    <n v="830000"/>
  </r>
  <r>
    <n v="13"/>
    <x v="12"/>
    <x v="2"/>
    <x v="6"/>
    <x v="0"/>
    <x v="2"/>
    <x v="11"/>
    <x v="12"/>
    <n v="945000"/>
  </r>
  <r>
    <n v="14"/>
    <x v="13"/>
    <x v="0"/>
    <x v="6"/>
    <x v="3"/>
    <x v="0"/>
    <x v="12"/>
    <x v="13"/>
    <n v="1780000"/>
  </r>
  <r>
    <n v="15"/>
    <x v="14"/>
    <x v="1"/>
    <x v="7"/>
    <x v="4"/>
    <x v="0"/>
    <x v="13"/>
    <x v="14"/>
    <n v="1900000"/>
  </r>
  <r>
    <n v="16"/>
    <x v="15"/>
    <x v="2"/>
    <x v="7"/>
    <x v="1"/>
    <x v="1"/>
    <x v="14"/>
    <x v="15"/>
    <n v="750000"/>
  </r>
  <r>
    <n v="17"/>
    <x v="16"/>
    <x v="0"/>
    <x v="8"/>
    <x v="7"/>
    <x v="0"/>
    <x v="15"/>
    <x v="8"/>
    <n v="1280000"/>
  </r>
  <r>
    <n v="18"/>
    <x v="17"/>
    <x v="1"/>
    <x v="8"/>
    <x v="6"/>
    <x v="0"/>
    <x v="16"/>
    <x v="1"/>
    <n v="725000"/>
  </r>
  <r>
    <n v="19"/>
    <x v="18"/>
    <x v="2"/>
    <x v="9"/>
    <x v="2"/>
    <x v="0"/>
    <x v="17"/>
    <x v="16"/>
    <n v="625000"/>
  </r>
  <r>
    <n v="20"/>
    <x v="19"/>
    <x v="0"/>
    <x v="9"/>
    <x v="8"/>
    <x v="2"/>
    <x v="18"/>
    <x v="17"/>
    <n v="1665000"/>
  </r>
  <r>
    <n v="21"/>
    <x v="20"/>
    <x v="1"/>
    <x v="10"/>
    <x v="9"/>
    <x v="0"/>
    <x v="19"/>
    <x v="18"/>
    <n v="1340000"/>
  </r>
  <r>
    <n v="22"/>
    <x v="21"/>
    <x v="0"/>
    <x v="10"/>
    <x v="5"/>
    <x v="1"/>
    <x v="20"/>
    <x v="19"/>
    <n v="808000"/>
  </r>
  <r>
    <n v="23"/>
    <x v="22"/>
    <x v="2"/>
    <x v="11"/>
    <x v="0"/>
    <x v="0"/>
    <x v="21"/>
    <x v="20"/>
    <n v="922000"/>
  </r>
  <r>
    <n v="24"/>
    <x v="23"/>
    <x v="0"/>
    <x v="11"/>
    <x v="3"/>
    <x v="0"/>
    <x v="18"/>
    <x v="21"/>
    <n v="1735000"/>
  </r>
  <r>
    <n v="25"/>
    <x v="24"/>
    <x v="1"/>
    <x v="12"/>
    <x v="4"/>
    <x v="2"/>
    <x v="22"/>
    <x v="22"/>
    <n v="1855000"/>
  </r>
  <r>
    <n v="26"/>
    <x v="25"/>
    <x v="2"/>
    <x v="12"/>
    <x v="1"/>
    <x v="0"/>
    <x v="23"/>
    <x v="23"/>
    <n v="732000"/>
  </r>
  <r>
    <n v="27"/>
    <x v="26"/>
    <x v="0"/>
    <x v="13"/>
    <x v="7"/>
    <x v="0"/>
    <x v="24"/>
    <x v="24"/>
    <n v="1258000"/>
  </r>
  <r>
    <n v="28"/>
    <x v="27"/>
    <x v="1"/>
    <x v="13"/>
    <x v="10"/>
    <x v="0"/>
    <x v="25"/>
    <x v="25"/>
    <n v="1115000"/>
  </r>
  <r>
    <n v="29"/>
    <x v="28"/>
    <x v="2"/>
    <x v="14"/>
    <x v="6"/>
    <x v="1"/>
    <x v="26"/>
    <x v="26"/>
    <n v="717000"/>
  </r>
  <r>
    <n v="30"/>
    <x v="29"/>
    <x v="0"/>
    <x v="14"/>
    <x v="0"/>
    <x v="0"/>
    <x v="27"/>
    <x v="10"/>
    <n v="980000"/>
  </r>
  <r>
    <n v="31"/>
    <x v="30"/>
    <x v="1"/>
    <x v="15"/>
    <x v="8"/>
    <x v="0"/>
    <x v="28"/>
    <x v="27"/>
    <n v="1690000"/>
  </r>
  <r>
    <n v="32"/>
    <x v="31"/>
    <x v="2"/>
    <x v="15"/>
    <x v="9"/>
    <x v="2"/>
    <x v="29"/>
    <x v="28"/>
    <n v="1365000"/>
  </r>
  <r>
    <n v="33"/>
    <x v="32"/>
    <x v="0"/>
    <x v="16"/>
    <x v="5"/>
    <x v="0"/>
    <x v="30"/>
    <x v="29"/>
    <n v="865000"/>
  </r>
  <r>
    <n v="34"/>
    <x v="33"/>
    <x v="1"/>
    <x v="16"/>
    <x v="3"/>
    <x v="1"/>
    <x v="4"/>
    <x v="30"/>
    <n v="1815000"/>
  </r>
  <r>
    <n v="35"/>
    <x v="34"/>
    <x v="2"/>
    <x v="17"/>
    <x v="4"/>
    <x v="0"/>
    <x v="31"/>
    <x v="31"/>
    <n v="1878000"/>
  </r>
  <r>
    <n v="36"/>
    <x v="35"/>
    <x v="0"/>
    <x v="17"/>
    <x v="1"/>
    <x v="0"/>
    <x v="32"/>
    <x v="32"/>
    <n v="772000"/>
  </r>
  <r>
    <n v="37"/>
    <x v="36"/>
    <x v="1"/>
    <x v="18"/>
    <x v="7"/>
    <x v="0"/>
    <x v="33"/>
    <x v="17"/>
    <n v="1305000"/>
  </r>
  <r>
    <n v="38"/>
    <x v="37"/>
    <x v="2"/>
    <x v="18"/>
    <x v="2"/>
    <x v="2"/>
    <x v="34"/>
    <x v="16"/>
    <n v="635000"/>
  </r>
  <r>
    <n v="39"/>
    <x v="38"/>
    <x v="0"/>
    <x v="19"/>
    <x v="6"/>
    <x v="0"/>
    <x v="35"/>
    <x v="33"/>
    <n v="743000"/>
  </r>
  <r>
    <n v="40"/>
    <x v="39"/>
    <x v="1"/>
    <x v="19"/>
    <x v="0"/>
    <x v="0"/>
    <x v="36"/>
    <x v="34"/>
    <n v="1002000"/>
  </r>
  <r>
    <n v="41"/>
    <x v="40"/>
    <x v="2"/>
    <x v="20"/>
    <x v="8"/>
    <x v="1"/>
    <x v="12"/>
    <x v="35"/>
    <n v="1715000"/>
  </r>
  <r>
    <n v="42"/>
    <x v="41"/>
    <x v="0"/>
    <x v="20"/>
    <x v="9"/>
    <x v="0"/>
    <x v="37"/>
    <x v="36"/>
    <n v="1388000"/>
  </r>
  <r>
    <n v="43"/>
    <x v="42"/>
    <x v="1"/>
    <x v="21"/>
    <x v="5"/>
    <x v="0"/>
    <x v="38"/>
    <x v="37"/>
    <n v="847000"/>
  </r>
  <r>
    <n v="44"/>
    <x v="43"/>
    <x v="2"/>
    <x v="21"/>
    <x v="3"/>
    <x v="2"/>
    <x v="28"/>
    <x v="38"/>
    <n v="1758000"/>
  </r>
  <r>
    <n v="45"/>
    <x v="44"/>
    <x v="0"/>
    <x v="22"/>
    <x v="4"/>
    <x v="0"/>
    <x v="39"/>
    <x v="39"/>
    <n v="1935000"/>
  </r>
  <r>
    <n v="46"/>
    <x v="45"/>
    <x v="1"/>
    <x v="22"/>
    <x v="1"/>
    <x v="1"/>
    <x v="5"/>
    <x v="40"/>
    <n v="784000"/>
  </r>
  <r>
    <n v="47"/>
    <x v="46"/>
    <x v="2"/>
    <x v="23"/>
    <x v="7"/>
    <x v="0"/>
    <x v="8"/>
    <x v="27"/>
    <n v="1340000"/>
  </r>
  <r>
    <n v="48"/>
    <x v="47"/>
    <x v="0"/>
    <x v="23"/>
    <x v="10"/>
    <x v="0"/>
    <x v="40"/>
    <x v="41"/>
    <n v="1138000"/>
  </r>
  <r>
    <n v="49"/>
    <x v="48"/>
    <x v="1"/>
    <x v="24"/>
    <x v="6"/>
    <x v="0"/>
    <x v="41"/>
    <x v="15"/>
    <n v="760000"/>
  </r>
  <r>
    <n v="50"/>
    <x v="49"/>
    <x v="0"/>
    <x v="24"/>
    <x v="0"/>
    <x v="0"/>
    <x v="42"/>
    <x v="25"/>
    <n v="101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TATA001"/>
    <s v="Metro"/>
    <s v="B001"/>
    <x v="0"/>
    <x v="0"/>
    <n v="780000"/>
    <n v="900000"/>
  </r>
  <r>
    <s v="TATA002"/>
    <s v="Tier 1"/>
    <s v="B001"/>
    <x v="1"/>
    <x v="0"/>
    <n v="620000"/>
    <n v="715000"/>
  </r>
  <r>
    <s v="TATA003"/>
    <s v="Tier 2"/>
    <s v="B002"/>
    <x v="2"/>
    <x v="0"/>
    <n v="520000"/>
    <n v="600000"/>
  </r>
  <r>
    <s v="TATA004"/>
    <s v="Metro"/>
    <s v="B002"/>
    <x v="3"/>
    <x v="0"/>
    <n v="1450000"/>
    <n v="1700000"/>
  </r>
  <r>
    <s v="TATA006"/>
    <s v="Metro"/>
    <s v="B003"/>
    <x v="4"/>
    <x v="0"/>
    <n v="680000"/>
    <n v="785000"/>
  </r>
  <r>
    <s v="TATA007"/>
    <s v="Tier 2"/>
    <s v="B004"/>
    <x v="5"/>
    <x v="0"/>
    <n v="610000"/>
    <n v="700000"/>
  </r>
  <r>
    <s v="TATA009"/>
    <s v="Metro"/>
    <s v="B005"/>
    <x v="6"/>
    <x v="0"/>
    <n v="1450000"/>
    <n v="1630000"/>
  </r>
  <r>
    <s v="TATA011"/>
    <s v="Metro"/>
    <s v="B006"/>
    <x v="7"/>
    <x v="0"/>
    <n v="950000"/>
    <n v="1080000"/>
  </r>
  <r>
    <s v="TATA012"/>
    <s v="Tier 1"/>
    <s v="B006"/>
    <x v="4"/>
    <x v="0"/>
    <n v="720000"/>
    <n v="830000"/>
  </r>
  <r>
    <s v="TATA014"/>
    <s v="Metro"/>
    <s v="B007"/>
    <x v="3"/>
    <x v="0"/>
    <n v="1520000"/>
    <n v="1780000"/>
  </r>
  <r>
    <s v="TATA015"/>
    <s v="Tier 1"/>
    <s v="B008"/>
    <x v="8"/>
    <x v="0"/>
    <n v="1620000"/>
    <n v="1900000"/>
  </r>
  <r>
    <s v="TATA017"/>
    <s v="Metro"/>
    <s v="B009"/>
    <x v="9"/>
    <x v="0"/>
    <n v="1100000"/>
    <n v="1280000"/>
  </r>
  <r>
    <s v="TATA018"/>
    <s v="Tier 1"/>
    <s v="B009"/>
    <x v="5"/>
    <x v="0"/>
    <n v="630000"/>
    <n v="725000"/>
  </r>
  <r>
    <s v="TATA019"/>
    <s v="Tier 2"/>
    <s v="B010"/>
    <x v="2"/>
    <x v="0"/>
    <n v="540000"/>
    <n v="625000"/>
  </r>
  <r>
    <s v="TATA021"/>
    <s v="Tier 1"/>
    <s v="B011"/>
    <x v="10"/>
    <x v="0"/>
    <n v="1180000"/>
    <n v="1340000"/>
  </r>
  <r>
    <s v="TATA023"/>
    <s v="Tier 2"/>
    <s v="B012"/>
    <x v="0"/>
    <x v="0"/>
    <n v="800000"/>
    <n v="922000"/>
  </r>
  <r>
    <s v="TATA024"/>
    <s v="Metro"/>
    <s v="B012"/>
    <x v="3"/>
    <x v="0"/>
    <n v="1480000"/>
    <n v="1735000"/>
  </r>
  <r>
    <s v="TATA026"/>
    <s v="Tier 2"/>
    <s v="B013"/>
    <x v="1"/>
    <x v="0"/>
    <n v="635000"/>
    <n v="732000"/>
  </r>
  <r>
    <s v="TATA027"/>
    <s v="Metro"/>
    <s v="B014"/>
    <x v="9"/>
    <x v="0"/>
    <n v="1080000"/>
    <n v="1258000"/>
  </r>
  <r>
    <s v="TATA028"/>
    <s v="Tier 1"/>
    <s v="B014"/>
    <x v="7"/>
    <x v="0"/>
    <n v="980000"/>
    <n v="1115000"/>
  </r>
  <r>
    <s v="TATA030"/>
    <s v="Metro"/>
    <s v="B015"/>
    <x v="0"/>
    <x v="0"/>
    <n v="850000"/>
    <n v="980000"/>
  </r>
  <r>
    <s v="TATA031"/>
    <s v="Tier 1"/>
    <s v="B016"/>
    <x v="6"/>
    <x v="0"/>
    <n v="1500000"/>
    <n v="1690000"/>
  </r>
  <r>
    <s v="TATA033"/>
    <s v="Metro"/>
    <s v="B017"/>
    <x v="4"/>
    <x v="0"/>
    <n v="750000"/>
    <n v="865000"/>
  </r>
  <r>
    <s v="TATA035"/>
    <s v="Tier 2"/>
    <s v="B018"/>
    <x v="8"/>
    <x v="0"/>
    <n v="1600000"/>
    <n v="1878000"/>
  </r>
  <r>
    <s v="TATA036"/>
    <s v="Metro"/>
    <s v="B018"/>
    <x v="1"/>
    <x v="0"/>
    <n v="670000"/>
    <n v="772000"/>
  </r>
  <r>
    <s v="TATA037"/>
    <s v="Tier 1"/>
    <s v="B019"/>
    <x v="9"/>
    <x v="0"/>
    <n v="1120000"/>
    <n v="1305000"/>
  </r>
  <r>
    <s v="TATA039"/>
    <s v="Metro"/>
    <s v="B020"/>
    <x v="5"/>
    <x v="0"/>
    <n v="645000"/>
    <n v="743000"/>
  </r>
  <r>
    <s v="TATA040"/>
    <s v="Tier 1"/>
    <s v="B020"/>
    <x v="0"/>
    <x v="0"/>
    <n v="870000"/>
    <n v="1002000"/>
  </r>
  <r>
    <s v="TATA042"/>
    <s v="Metro"/>
    <s v="B021"/>
    <x v="10"/>
    <x v="0"/>
    <n v="1220000"/>
    <n v="1388000"/>
  </r>
  <r>
    <s v="TATA043"/>
    <s v="Tier 1"/>
    <s v="B022"/>
    <x v="4"/>
    <x v="0"/>
    <n v="735000"/>
    <n v="847000"/>
  </r>
  <r>
    <s v="TATA045"/>
    <s v="Metro"/>
    <s v="B023"/>
    <x v="8"/>
    <x v="0"/>
    <n v="1650000"/>
    <n v="1935000"/>
  </r>
  <r>
    <s v="TATA047"/>
    <s v="Tier 2"/>
    <s v="B024"/>
    <x v="9"/>
    <x v="0"/>
    <n v="1150000"/>
    <n v="1340000"/>
  </r>
  <r>
    <s v="TATA048"/>
    <s v="Metro"/>
    <s v="B024"/>
    <x v="7"/>
    <x v="0"/>
    <n v="1000000"/>
    <n v="1138000"/>
  </r>
  <r>
    <s v="TATA049"/>
    <s v="Tier 1"/>
    <s v="B025"/>
    <x v="5"/>
    <x v="0"/>
    <n v="660000"/>
    <n v="760000"/>
  </r>
  <r>
    <s v="TATA050"/>
    <s v="Metro"/>
    <s v="B025"/>
    <x v="0"/>
    <x v="0"/>
    <n v="880000"/>
    <n v="101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B5A96-E343-4F94-86C9-E3412D7B665E}"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B16:C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ars Sold" fld="1" baseField="0" baseItem="0"/>
  </dataFields>
  <chartFormats count="4">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multipleItemSelectionAllowed="1" dragToData="1"/>
    <pivotHierarchy dragToData="1"/>
    <pivotHierarchy dragToData="1"/>
    <pivotHierarchy dragToData="1"/>
    <pivotHierarchy multipleItemSelectionAllowed="1" dragToData="1">
      <members count="1" level="1">
        <member name="[Table3].[Cars Sold].&amp;[17]"/>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_sale (1).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81B7E6-2411-4FF3-AEA4-35A1D500A9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6" firstHeaderRow="1" firstDataRow="2" firstDataCol="1"/>
  <pivotFields count="9">
    <pivotField showAll="0"/>
    <pivotField showAll="0"/>
    <pivotField axis="axisCol" showAll="0">
      <items count="4">
        <item x="0"/>
        <item x="1"/>
        <item x="2"/>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12">
        <item x="5"/>
        <item x="7"/>
        <item x="3"/>
        <item x="0"/>
        <item x="8"/>
        <item x="1"/>
        <item x="9"/>
        <item x="4"/>
        <item x="2"/>
        <item x="10"/>
        <item x="6"/>
        <item t="default"/>
      </items>
    </pivotField>
    <pivotField showAll="0"/>
    <pivotField dataField="1" showAll="0">
      <items count="44">
        <item x="2"/>
        <item x="17"/>
        <item x="34"/>
        <item x="6"/>
        <item x="1"/>
        <item x="26"/>
        <item x="16"/>
        <item x="23"/>
        <item x="35"/>
        <item x="14"/>
        <item x="41"/>
        <item x="32"/>
        <item x="5"/>
        <item x="20"/>
        <item x="10"/>
        <item x="38"/>
        <item x="30"/>
        <item x="0"/>
        <item x="21"/>
        <item x="11"/>
        <item x="27"/>
        <item x="36"/>
        <item x="42"/>
        <item x="9"/>
        <item x="25"/>
        <item x="40"/>
        <item x="7"/>
        <item x="24"/>
        <item x="15"/>
        <item x="33"/>
        <item x="8"/>
        <item x="19"/>
        <item x="29"/>
        <item x="37"/>
        <item x="3"/>
        <item x="18"/>
        <item x="28"/>
        <item x="12"/>
        <item x="4"/>
        <item x="22"/>
        <item x="31"/>
        <item x="13"/>
        <item x="39"/>
        <item t="default"/>
      </items>
    </pivotField>
    <pivotField showAll="0"/>
    <pivotField showAll="0"/>
  </pivotFields>
  <rowFields count="1">
    <field x="4"/>
  </rowFields>
  <rowItems count="12">
    <i>
      <x/>
    </i>
    <i>
      <x v="1"/>
    </i>
    <i>
      <x v="2"/>
    </i>
    <i>
      <x v="3"/>
    </i>
    <i>
      <x v="4"/>
    </i>
    <i>
      <x v="5"/>
    </i>
    <i>
      <x v="6"/>
    </i>
    <i>
      <x v="7"/>
    </i>
    <i>
      <x v="8"/>
    </i>
    <i>
      <x v="9"/>
    </i>
    <i>
      <x v="10"/>
    </i>
    <i t="grand">
      <x/>
    </i>
  </rowItems>
  <colFields count="1">
    <field x="2"/>
  </colFields>
  <colItems count="4">
    <i>
      <x/>
    </i>
    <i>
      <x v="1"/>
    </i>
    <i>
      <x v="2"/>
    </i>
    <i t="grand">
      <x/>
    </i>
  </colItems>
  <dataFields count="1">
    <dataField name="Sum of Product Cost" fld="6" baseField="0" baseItem="0"/>
  </dataFields>
  <chartFormats count="7">
    <chartFormat chart="0" format="43" series="1">
      <pivotArea type="data" outline="0" fieldPosition="0">
        <references count="1">
          <reference field="4294967294" count="1" selected="0">
            <x v="0"/>
          </reference>
        </references>
      </pivotArea>
    </chartFormat>
    <chartFormat chart="0" format="44" series="1">
      <pivotArea type="data" outline="0" fieldPosition="0">
        <references count="2">
          <reference field="4294967294" count="1" selected="0">
            <x v="0"/>
          </reference>
          <reference field="2" count="1" selected="0">
            <x v="2"/>
          </reference>
        </references>
      </pivotArea>
    </chartFormat>
    <chartFormat chart="0" format="45" series="1">
      <pivotArea type="data" outline="0" fieldPosition="0">
        <references count="2">
          <reference field="4294967294" count="1" selected="0">
            <x v="0"/>
          </reference>
          <reference field="2" count="1" selected="0">
            <x v="0"/>
          </reference>
        </references>
      </pivotArea>
    </chartFormat>
    <chartFormat chart="0" format="46" series="1">
      <pivotArea type="data" outline="0" fieldPosition="0">
        <references count="2">
          <reference field="4294967294" count="1" selected="0">
            <x v="0"/>
          </reference>
          <reference field="2" count="1" selected="0">
            <x v="1"/>
          </reference>
        </references>
      </pivotArea>
    </chartFormat>
    <chartFormat chart="4" format="50" series="1">
      <pivotArea type="data" outline="0" fieldPosition="0">
        <references count="2">
          <reference field="4294967294" count="1" selected="0">
            <x v="0"/>
          </reference>
          <reference field="2" count="1" selected="0">
            <x v="0"/>
          </reference>
        </references>
      </pivotArea>
    </chartFormat>
    <chartFormat chart="4" format="51" series="1">
      <pivotArea type="data" outline="0" fieldPosition="0">
        <references count="2">
          <reference field="4294967294" count="1" selected="0">
            <x v="0"/>
          </reference>
          <reference field="2" count="1" selected="0">
            <x v="1"/>
          </reference>
        </references>
      </pivotArea>
    </chartFormat>
    <chartFormat chart="4" format="5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E0048-7146-4206-8E13-33C890A3C0E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3" firstHeaderRow="1" firstDataRow="1" firstDataCol="1"/>
  <pivotFields count="7">
    <pivotField showAll="0"/>
    <pivotField showAll="0"/>
    <pivotField showAll="0"/>
    <pivotField axis="axisRow" showAll="0">
      <items count="12">
        <item x="4"/>
        <item x="9"/>
        <item x="3"/>
        <item x="0"/>
        <item x="6"/>
        <item x="1"/>
        <item x="10"/>
        <item x="8"/>
        <item x="2"/>
        <item x="7"/>
        <item x="5"/>
        <item t="default"/>
      </items>
    </pivotField>
    <pivotField dataField="1" showAll="0">
      <items count="2">
        <item x="0"/>
        <item t="default"/>
      </items>
    </pivotField>
    <pivotField showAll="0"/>
    <pivotField numFmtId="164" showAll="0"/>
  </pivotFields>
  <rowFields count="1">
    <field x="3"/>
  </rowFields>
  <rowItems count="12">
    <i>
      <x/>
    </i>
    <i>
      <x v="1"/>
    </i>
    <i>
      <x v="2"/>
    </i>
    <i>
      <x v="3"/>
    </i>
    <i>
      <x v="4"/>
    </i>
    <i>
      <x v="5"/>
    </i>
    <i>
      <x v="6"/>
    </i>
    <i>
      <x v="7"/>
    </i>
    <i>
      <x v="8"/>
    </i>
    <i>
      <x v="9"/>
    </i>
    <i>
      <x v="10"/>
    </i>
    <i t="grand">
      <x/>
    </i>
  </rowItems>
  <colItems count="1">
    <i/>
  </colItems>
  <dataFields count="1">
    <dataField name="Count of Delivery Status" fld="4" subtotal="count" baseField="0" baseItem="0"/>
  </dataFields>
  <chartFormats count="13">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0" format="11">
      <pivotArea type="data" outline="0" fieldPosition="0">
        <references count="2">
          <reference field="4294967294" count="1" selected="0">
            <x v="0"/>
          </reference>
          <reference field="3" count="1" selected="0">
            <x v="9"/>
          </reference>
        </references>
      </pivotArea>
    </chartFormat>
    <chartFormat chart="0" format="12">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4DF3F-8BA9-40D3-BFCC-9C6B6A6FF7EE}"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K3:L6" firstHeaderRow="1" firstDataRow="1" firstDataCol="1"/>
  <pivotFields count="2">
    <pivotField axis="axisRow" allDrilled="1" subtotalTop="0" showAll="0" dataSourceSort="1" defaultSubtotal="0" defaultAttributeDrillState="1">
      <items count="3">
        <item s="1" x="0"/>
        <item s="1" x="1"/>
        <item x="2"/>
      </items>
    </pivotField>
    <pivotField dataField="1" subtotalTop="0" showAll="0" defaultSubtotal="0"/>
  </pivotFields>
  <rowFields count="1">
    <field x="0"/>
  </rowFields>
  <rowItems count="3">
    <i>
      <x/>
    </i>
    <i>
      <x v="1"/>
    </i>
    <i t="grand">
      <x/>
    </i>
  </rowItems>
  <colItems count="1">
    <i/>
  </colItems>
  <dataFields count="1">
    <dataField name="Sum of Cars Sold" fld="1" baseField="0" baseItem="0"/>
  </dataFields>
  <chartFormats count="4">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17">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_sale (1).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EED6F3-8657-4A4E-BFA9-F10D18DCB9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C13" firstHeaderRow="0" firstDataRow="1" firstDataCol="1"/>
  <pivotFields count="9">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4">
        <item x="0"/>
        <item x="1"/>
        <item x="2"/>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12">
        <item x="5"/>
        <item x="7"/>
        <item x="3"/>
        <item x="0"/>
        <item x="8"/>
        <item x="1"/>
        <item x="9"/>
        <item x="4"/>
        <item x="2"/>
        <item x="10"/>
        <item x="6"/>
        <item t="default"/>
      </items>
    </pivotField>
    <pivotField showAll="0">
      <items count="4">
        <item x="0"/>
        <item x="2"/>
        <item x="1"/>
        <item t="default"/>
      </items>
    </pivotField>
    <pivotField dataField="1" showAll="0">
      <items count="44">
        <item x="2"/>
        <item x="17"/>
        <item x="34"/>
        <item x="6"/>
        <item x="1"/>
        <item x="26"/>
        <item x="16"/>
        <item x="23"/>
        <item x="35"/>
        <item x="14"/>
        <item x="41"/>
        <item x="32"/>
        <item x="5"/>
        <item x="20"/>
        <item x="10"/>
        <item x="38"/>
        <item x="30"/>
        <item x="0"/>
        <item x="21"/>
        <item x="11"/>
        <item x="27"/>
        <item x="36"/>
        <item x="42"/>
        <item x="9"/>
        <item x="25"/>
        <item x="40"/>
        <item x="7"/>
        <item x="24"/>
        <item x="15"/>
        <item x="33"/>
        <item x="8"/>
        <item x="19"/>
        <item x="29"/>
        <item x="37"/>
        <item x="3"/>
        <item x="18"/>
        <item x="28"/>
        <item x="12"/>
        <item x="4"/>
        <item x="22"/>
        <item x="31"/>
        <item x="13"/>
        <item x="39"/>
        <item t="default"/>
      </items>
    </pivotField>
    <pivotField dataField="1" showAll="0">
      <items count="43">
        <item x="2"/>
        <item x="16"/>
        <item x="6"/>
        <item x="26"/>
        <item x="1"/>
        <item x="23"/>
        <item x="33"/>
        <item x="15"/>
        <item x="32"/>
        <item x="40"/>
        <item x="5"/>
        <item x="19"/>
        <item x="11"/>
        <item x="37"/>
        <item x="29"/>
        <item x="0"/>
        <item x="20"/>
        <item x="12"/>
        <item x="10"/>
        <item x="34"/>
        <item x="25"/>
        <item x="41"/>
        <item x="9"/>
        <item x="18"/>
        <item x="28"/>
        <item x="36"/>
        <item x="7"/>
        <item x="24"/>
        <item x="8"/>
        <item x="17"/>
        <item x="27"/>
        <item x="35"/>
        <item x="3"/>
        <item x="21"/>
        <item x="38"/>
        <item x="13"/>
        <item x="30"/>
        <item x="4"/>
        <item x="22"/>
        <item x="31"/>
        <item x="14"/>
        <item x="39"/>
        <item t="default"/>
      </items>
    </pivotField>
    <pivotField showAll="0"/>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Sum of Product Cost" fld="6" baseField="0" baseItem="0"/>
    <dataField name="Sum of Taxation &amp; Delivery Cost" fld="7" baseField="0" baseItem="0"/>
  </dataFields>
  <chartFormats count="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Name1" xr10:uid="{A4B1E029-3578-4535-8FDF-05B5BEB67D37}" sourceName="Model Name">
  <pivotTables>
    <pivotTable tabId="12" name="PivotTable5"/>
  </pivotTables>
  <data>
    <tabular pivotCacheId="1194003160">
      <items count="11">
        <i x="4" s="1"/>
        <i x="9" s="1"/>
        <i x="3" s="1"/>
        <i x="0" s="1"/>
        <i x="6" s="1"/>
        <i x="1" s="1"/>
        <i x="10" s="1"/>
        <i x="8" s="1"/>
        <i x="2"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Name2" xr10:uid="{04A80957-9BC3-49A9-BD3B-1EA963C4757C}" sourceName="Model Name">
  <pivotTables>
    <pivotTable tabId="13" name="PivotTable1"/>
    <pivotTable tabId="6" name="PivotTable3"/>
  </pivotTables>
  <data>
    <tabular pivotCacheId="612024009">
      <items count="11">
        <i x="5" s="1"/>
        <i x="7" s="1"/>
        <i x="3" s="1"/>
        <i x="0" s="1"/>
        <i x="8" s="1"/>
        <i x="1" s="1"/>
        <i x="9" s="1"/>
        <i x="4" s="1"/>
        <i x="2"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Name 2" xr10:uid="{395D4759-0F48-4EF3-A9EC-EC62E9F85833}" cache="Slicer_Model_Name2" caption="Model Name"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Name" xr10:uid="{CB91ADC7-C8F9-4147-A00D-BAAAF3073C90}" cache="Slicer_Model_Name2" caption="Model Name"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Name 1" xr10:uid="{28D8EA32-57B6-4126-B2F8-BBC0F8B0C5DE}" cache="Slicer_Model_Name1" caption="Model Nam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D9D03-51DF-443B-8B9D-A9C522ADAA72}" name="Table1" displayName="Table1" ref="A1:J51" totalsRowShown="0" headerRowDxfId="42" dataDxfId="41">
  <autoFilter ref="A1:J51" xr:uid="{34FD9D03-51DF-443B-8B9D-A9C522ADAA72}"/>
  <tableColumns count="10">
    <tableColumn id="1" xr3:uid="{1155B5B7-DDBB-4A5C-A112-CB6116781BD0}" name="SL No." dataDxfId="40"/>
    <tableColumn id="2" xr3:uid="{A0D796C8-F968-4848-9F81-488C0199CFF2}" name="Product_ID" dataDxfId="39"/>
    <tableColumn id="3" xr3:uid="{E476A341-FE82-404A-AC3F-A3C76198265A}" name="City_Category" dataDxfId="38"/>
    <tableColumn id="4" xr3:uid="{17463341-A6F8-4395-A6D8-93B89DE04E6C}" name="Batch" dataDxfId="37"/>
    <tableColumn id="5" xr3:uid="{83C931C5-D537-47C2-8ABC-EB27A9709C62}" name="Model Name" dataDxfId="36"/>
    <tableColumn id="6" xr3:uid="{F459A9B3-120A-4AF8-86C4-34472A6D8BC9}" name="Delivery Status" dataDxfId="35"/>
    <tableColumn id="7" xr3:uid="{238E0B97-38F5-400D-978D-B167CB613A60}" name="Product Cost" dataDxfId="34"/>
    <tableColumn id="8" xr3:uid="{63158E8E-B762-44FD-8643-051E5733BEDC}" name="Taxation &amp; Delivery Cost" dataDxfId="33"/>
    <tableColumn id="9" xr3:uid="{71D73642-30D0-4B6A-8F47-092B69413B15}" name="Final Cost" dataDxfId="32"/>
    <tableColumn id="10" xr3:uid="{DEEA1414-271C-4864-A82E-EFC597D656B3}" name="On Road Price"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4B0033-6BD2-4434-9207-796DFD8D795F}" name="Table9" displayName="Table9" ref="A54:F55" totalsRowShown="0" headerRowDxfId="30" dataDxfId="29" tableBorderDxfId="28">
  <autoFilter ref="A54:F55" xr:uid="{B74B0033-6BD2-4434-9207-796DFD8D795F}"/>
  <tableColumns count="6">
    <tableColumn id="1" xr3:uid="{AB7E1C2D-BC2A-46EC-ABB3-5BC758CBDE20}" name="Column1" dataDxfId="27"/>
    <tableColumn id="2" xr3:uid="{5FCC52D2-90EE-4757-98C8-B63665F71AF9}" name="Production cost" dataDxfId="26">
      <calculatedColumnFormula>SUM(G2:G51)</calculatedColumnFormula>
    </tableColumn>
    <tableColumn id="3" xr3:uid="{1B0A30B8-0D79-42FF-BAAF-EA418338459B}" name="delivery and tax" dataDxfId="25">
      <calculatedColumnFormula>SUM(H2:H51)</calculatedColumnFormula>
    </tableColumn>
    <tableColumn id="4" xr3:uid="{6324574D-2793-4917-92CF-5562D45EA295}" name="total price" dataDxfId="24">
      <calculatedColumnFormula>SUM(J2:J51)</calculatedColumnFormula>
    </tableColumn>
    <tableColumn id="5" xr3:uid="{287B134F-B42F-4AE1-BEB5-21D8E96712D5}" name="estimated profit" dataDxfId="23">
      <calculatedColumnFormula>D55-F55</calculatedColumnFormula>
    </tableColumn>
    <tableColumn id="6" xr3:uid="{E515E781-D988-4169-9B23-FF3A1F43888F}" name="total cost" dataDxfId="22">
      <calculatedColumnFormula>SUM(B55:C55)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608148-A67B-4E33-9A69-B97B9FA54354}" name="Table10" displayName="Table10" ref="A56:D57" totalsRowShown="0" headerRowDxfId="21" tableBorderDxfId="20">
  <autoFilter ref="A56:D57" xr:uid="{09608148-A67B-4E33-9A69-B97B9FA54354}"/>
  <tableColumns count="4">
    <tableColumn id="1" xr3:uid="{E4E01385-1056-44CB-BC4C-4AC8B7C9F5FD}" name="Total generated revenue" dataDxfId="19">
      <calculatedColumnFormula>SUMIF(Table1[Delivery Status],F4,Table1[On Road Price])</calculatedColumnFormula>
    </tableColumn>
    <tableColumn id="2" xr3:uid="{F8569CFF-C523-4D3C-A84B-6ADCFB5D5A88}" name="Unrealised P&amp;L" dataDxfId="18">
      <calculatedColumnFormula>A57-SUM(Table1[Product Cost])</calculatedColumnFormula>
    </tableColumn>
    <tableColumn id="3" xr3:uid="{87996C19-D3A1-4AFF-A4EB-DCE2515EA048}" name="Realised P&amp;L" dataDxfId="17">
      <calculatedColumnFormula>B57+SUM(H2:H51)</calculatedColumnFormula>
    </tableColumn>
    <tableColumn id="4" xr3:uid="{62679961-A4CF-4A9D-BDDE-5D634D0380A0}" name="Estimated P&amp;L" dataDxfId="16">
      <calculatedColumnFormula>D55-F55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0B3B9D-273C-46E9-B86A-9CA8D5CA9618}" name="Table2" displayName="Table2" ref="A1:D51" totalsRowShown="0" headerRowDxfId="15" dataDxfId="13" headerRowBorderDxfId="14" tableBorderDxfId="12">
  <autoFilter ref="A1:D51" xr:uid="{D70B3B9D-273C-46E9-B86A-9CA8D5CA9618}"/>
  <tableColumns count="4">
    <tableColumn id="1" xr3:uid="{F8A49E63-E1A1-42CF-ABFA-D593EF9AC453}" name="Model " dataDxfId="11"/>
    <tableColumn id="2" xr3:uid="{B4BEF74D-896F-46E6-ACAF-644502135132}" name="Delivered" dataDxfId="10">
      <calculatedColumnFormula>COUNTIFS(Data_Sheet!$E:$E,$A2,Data_Sheet!$F:$F,B$1)</calculatedColumnFormula>
    </tableColumn>
    <tableColumn id="3" xr3:uid="{909A21CB-9921-4AA1-A05F-7342FE67017B}" name="Pending" dataDxfId="9">
      <calculatedColumnFormula>COUNTIFS(Data_Sheet!$E:$E,$A2,Data_Sheet!$F:$F,C$1)</calculatedColumnFormula>
    </tableColumn>
    <tableColumn id="4" xr3:uid="{C1F7FFB3-1470-4079-BDA2-EEEFA510AC18}" name="In Transit" dataDxfId="8">
      <calculatedColumnFormula>COUNTIFS(Data_Sheet!$E:$E,$A2,Data_Sheet!$F:$F,D$1)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F50FF8-92FD-47DB-B42A-E3C9DB043CF6}" name="Table3" displayName="Table3" ref="A1:D4" totalsRowShown="0" headerRowDxfId="7" dataDxfId="5" headerRowBorderDxfId="6" tableBorderDxfId="4">
  <autoFilter ref="A1:D4" xr:uid="{2DF50FF8-92FD-47DB-B42A-E3C9DB043CF6}"/>
  <tableColumns count="4">
    <tableColumn id="1" xr3:uid="{C9BE9C9D-9F35-43D2-906E-00951D42F0EB}" name="City" dataDxfId="3"/>
    <tableColumn id="2" xr3:uid="{E8345EA3-4DEE-41F5-BB98-5292E51B5EF2}" name="Cars Sold" dataDxfId="2">
      <calculatedColumnFormula>COUNTIFS(Data_Sheet!$C:$C,$A2,Data_Sheet!$F:$F,"Delivered")</calculatedColumnFormula>
    </tableColumn>
    <tableColumn id="3" xr3:uid="{47BE4B1C-65CE-44B8-A77E-D5C43F5F37E0}" name="Total Sales" dataDxfId="1">
      <calculatedColumnFormula>SUMIFS(Data_Sheet!$I:$I,Data_Sheet!$C:$C,$A2,Data_Sheet!$F:$F,"Delivered")</calculatedColumnFormula>
    </tableColumn>
    <tableColumn id="4" xr3:uid="{71380167-CF3A-4C3F-B01A-2175B1DBFD7C}" name="Average Sale Price" dataDxfId="0">
      <calculatedColumnFormula>AVERAGEIFS(Data_Sheet!$I:$I,Data_Sheet!$C:$C,$A2,Data_Sheet!$F:$F,"Delivered")</calculatedColumnFormula>
    </tableColumn>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A923-FC65-41AA-8E71-7FB0FB97AF9E}">
  <dimension ref="A1:Q66"/>
  <sheetViews>
    <sheetView topLeftCell="D1" zoomScale="93" zoomScaleNormal="93" workbookViewId="0">
      <selection activeCell="C2" sqref="C2"/>
    </sheetView>
  </sheetViews>
  <sheetFormatPr defaultColWidth="8.88671875" defaultRowHeight="14.4" x14ac:dyDescent="0.3"/>
  <cols>
    <col min="1" max="1" width="33.88671875" style="2" customWidth="1"/>
    <col min="2" max="2" width="22.88671875" style="2" customWidth="1"/>
    <col min="3" max="3" width="19.88671875" style="2" customWidth="1"/>
    <col min="4" max="4" width="19" style="2" customWidth="1"/>
    <col min="5" max="5" width="17.88671875" style="2" customWidth="1"/>
    <col min="6" max="6" width="19.109375" style="2" customWidth="1"/>
    <col min="7" max="7" width="16.6640625" style="2" customWidth="1"/>
    <col min="8" max="8" width="25.88671875" style="2" customWidth="1"/>
    <col min="9" max="9" width="14.88671875" style="2" customWidth="1"/>
    <col min="10" max="10" width="15.88671875" style="2" customWidth="1"/>
    <col min="11" max="13" width="8.88671875" style="2"/>
    <col min="14" max="14" width="22" style="2" customWidth="1"/>
    <col min="15" max="15" width="17.109375" style="2" customWidth="1"/>
    <col min="16" max="16" width="10.88671875" style="2" customWidth="1"/>
    <col min="17" max="16384" width="8.88671875" style="2"/>
  </cols>
  <sheetData>
    <row r="1" spans="1:17" s="4" customFormat="1" ht="15.6" x14ac:dyDescent="0.3">
      <c r="A1" s="3" t="s">
        <v>100</v>
      </c>
      <c r="B1" s="3" t="s">
        <v>0</v>
      </c>
      <c r="C1" s="3" t="s">
        <v>1</v>
      </c>
      <c r="D1" s="3" t="s">
        <v>2</v>
      </c>
      <c r="E1" s="3" t="s">
        <v>3</v>
      </c>
      <c r="F1" s="3" t="s">
        <v>4</v>
      </c>
      <c r="G1" s="3" t="s">
        <v>5</v>
      </c>
      <c r="H1" s="3" t="s">
        <v>6</v>
      </c>
      <c r="I1" s="3" t="s">
        <v>125</v>
      </c>
      <c r="J1" s="3" t="s">
        <v>126</v>
      </c>
    </row>
    <row r="2" spans="1:17" ht="14.4" customHeight="1" x14ac:dyDescent="0.3">
      <c r="A2" s="1">
        <v>1</v>
      </c>
      <c r="B2" s="1" t="s">
        <v>8</v>
      </c>
      <c r="C2" s="1" t="s">
        <v>9</v>
      </c>
      <c r="D2" s="1" t="s">
        <v>10</v>
      </c>
      <c r="E2" s="1" t="s">
        <v>11</v>
      </c>
      <c r="F2" s="1" t="s">
        <v>12</v>
      </c>
      <c r="G2" s="1">
        <v>780000</v>
      </c>
      <c r="H2" s="1">
        <v>120000</v>
      </c>
      <c r="I2" s="1">
        <v>900000</v>
      </c>
      <c r="J2" s="1">
        <v>1200000</v>
      </c>
      <c r="K2" s="5"/>
      <c r="L2" s="5"/>
      <c r="M2" s="5"/>
      <c r="N2" s="5"/>
      <c r="O2" s="6"/>
      <c r="P2" s="6"/>
      <c r="Q2" s="6"/>
    </row>
    <row r="3" spans="1:17" ht="14.4" customHeight="1" x14ac:dyDescent="0.3">
      <c r="A3" s="1">
        <v>2</v>
      </c>
      <c r="B3" s="1" t="s">
        <v>13</v>
      </c>
      <c r="C3" s="1" t="s">
        <v>14</v>
      </c>
      <c r="D3" s="1" t="s">
        <v>10</v>
      </c>
      <c r="E3" s="1" t="s">
        <v>15</v>
      </c>
      <c r="F3" s="1" t="s">
        <v>12</v>
      </c>
      <c r="G3" s="1">
        <v>620000</v>
      </c>
      <c r="H3" s="1">
        <v>95000</v>
      </c>
      <c r="I3" s="1">
        <v>715000</v>
      </c>
      <c r="J3" s="1">
        <v>950000</v>
      </c>
      <c r="K3" s="5"/>
      <c r="L3" s="5"/>
      <c r="M3" s="5"/>
      <c r="N3" s="5"/>
      <c r="O3" s="6"/>
      <c r="P3" s="6"/>
      <c r="Q3" s="6"/>
    </row>
    <row r="4" spans="1:17" x14ac:dyDescent="0.3">
      <c r="A4" s="1">
        <v>3</v>
      </c>
      <c r="B4" s="1" t="s">
        <v>16</v>
      </c>
      <c r="C4" s="1" t="s">
        <v>17</v>
      </c>
      <c r="D4" s="1" t="s">
        <v>18</v>
      </c>
      <c r="E4" s="1" t="s">
        <v>19</v>
      </c>
      <c r="F4" s="1" t="s">
        <v>12</v>
      </c>
      <c r="G4" s="1">
        <v>520000</v>
      </c>
      <c r="H4" s="1">
        <v>80000</v>
      </c>
      <c r="I4" s="1">
        <v>600000</v>
      </c>
      <c r="J4" s="1">
        <v>750000</v>
      </c>
      <c r="K4"/>
      <c r="L4"/>
      <c r="M4"/>
      <c r="N4"/>
      <c r="O4"/>
      <c r="P4"/>
      <c r="Q4"/>
    </row>
    <row r="5" spans="1:17" ht="14.4" customHeight="1" x14ac:dyDescent="0.3">
      <c r="A5" s="1">
        <v>4</v>
      </c>
      <c r="B5" s="1" t="s">
        <v>20</v>
      </c>
      <c r="C5" s="1" t="s">
        <v>9</v>
      </c>
      <c r="D5" s="1" t="s">
        <v>18</v>
      </c>
      <c r="E5" s="1" t="s">
        <v>21</v>
      </c>
      <c r="F5" s="1" t="s">
        <v>12</v>
      </c>
      <c r="G5" s="1">
        <v>1450000</v>
      </c>
      <c r="H5" s="1">
        <v>250000</v>
      </c>
      <c r="I5" s="1">
        <v>1700000</v>
      </c>
      <c r="J5" s="1">
        <v>2100000</v>
      </c>
      <c r="K5" s="7"/>
      <c r="L5" s="7"/>
      <c r="M5" s="7"/>
    </row>
    <row r="6" spans="1:17" ht="14.4" customHeight="1" x14ac:dyDescent="0.3">
      <c r="A6" s="1">
        <v>5</v>
      </c>
      <c r="B6" s="1" t="s">
        <v>22</v>
      </c>
      <c r="C6" s="1" t="s">
        <v>14</v>
      </c>
      <c r="D6" s="1" t="s">
        <v>23</v>
      </c>
      <c r="E6" s="1" t="s">
        <v>24</v>
      </c>
      <c r="F6" s="1" t="s">
        <v>25</v>
      </c>
      <c r="G6" s="1">
        <v>1550000</v>
      </c>
      <c r="H6" s="1">
        <v>270000</v>
      </c>
      <c r="I6" s="1">
        <v>1820000</v>
      </c>
      <c r="J6" s="1">
        <v>2300000</v>
      </c>
      <c r="K6" s="7"/>
      <c r="L6" s="7"/>
      <c r="M6" s="7"/>
    </row>
    <row r="7" spans="1:17" x14ac:dyDescent="0.3">
      <c r="A7" s="1">
        <v>6</v>
      </c>
      <c r="B7" s="1" t="s">
        <v>26</v>
      </c>
      <c r="C7" s="1" t="s">
        <v>9</v>
      </c>
      <c r="D7" s="1" t="s">
        <v>23</v>
      </c>
      <c r="E7" s="1" t="s">
        <v>27</v>
      </c>
      <c r="F7" s="1" t="s">
        <v>12</v>
      </c>
      <c r="G7" s="1">
        <v>680000</v>
      </c>
      <c r="H7" s="1">
        <v>105000</v>
      </c>
      <c r="I7" s="1">
        <v>785000</v>
      </c>
      <c r="J7" s="1">
        <v>1000000</v>
      </c>
      <c r="K7"/>
      <c r="L7"/>
      <c r="M7"/>
    </row>
    <row r="8" spans="1:17" x14ac:dyDescent="0.3">
      <c r="A8" s="1">
        <v>7</v>
      </c>
      <c r="B8" s="1" t="s">
        <v>28</v>
      </c>
      <c r="C8" s="1" t="s">
        <v>17</v>
      </c>
      <c r="D8" s="1" t="s">
        <v>29</v>
      </c>
      <c r="E8" s="1" t="s">
        <v>30</v>
      </c>
      <c r="F8" s="1" t="s">
        <v>12</v>
      </c>
      <c r="G8" s="1">
        <v>610000</v>
      </c>
      <c r="H8" s="1">
        <v>90000</v>
      </c>
      <c r="I8" s="1">
        <v>700000</v>
      </c>
      <c r="J8" s="1">
        <v>850000</v>
      </c>
    </row>
    <row r="9" spans="1:17" x14ac:dyDescent="0.3">
      <c r="A9" s="1">
        <v>8</v>
      </c>
      <c r="B9" s="1" t="s">
        <v>31</v>
      </c>
      <c r="C9" s="1" t="s">
        <v>14</v>
      </c>
      <c r="D9" s="1" t="s">
        <v>29</v>
      </c>
      <c r="E9" s="1" t="s">
        <v>32</v>
      </c>
      <c r="F9" s="1" t="s">
        <v>25</v>
      </c>
      <c r="G9" s="1">
        <v>1050000</v>
      </c>
      <c r="H9" s="1">
        <v>175000</v>
      </c>
      <c r="I9" s="1">
        <v>1225000</v>
      </c>
      <c r="J9" s="1">
        <v>1700000</v>
      </c>
    </row>
    <row r="10" spans="1:17" x14ac:dyDescent="0.3">
      <c r="A10" s="1">
        <v>9</v>
      </c>
      <c r="B10" s="1" t="s">
        <v>33</v>
      </c>
      <c r="C10" s="1" t="s">
        <v>9</v>
      </c>
      <c r="D10" s="1" t="s">
        <v>34</v>
      </c>
      <c r="E10" s="1" t="s">
        <v>35</v>
      </c>
      <c r="F10" s="1" t="s">
        <v>12</v>
      </c>
      <c r="G10" s="1">
        <v>1450000</v>
      </c>
      <c r="H10" s="1">
        <v>180000</v>
      </c>
      <c r="I10" s="1">
        <v>1630000</v>
      </c>
      <c r="J10" s="1">
        <v>1500000</v>
      </c>
    </row>
    <row r="11" spans="1:17" x14ac:dyDescent="0.3">
      <c r="A11" s="1">
        <v>10</v>
      </c>
      <c r="B11" s="1" t="s">
        <v>36</v>
      </c>
      <c r="C11" s="1" t="s">
        <v>17</v>
      </c>
      <c r="D11" s="1" t="s">
        <v>34</v>
      </c>
      <c r="E11" s="1" t="s">
        <v>37</v>
      </c>
      <c r="F11" s="1" t="s">
        <v>38</v>
      </c>
      <c r="G11" s="1">
        <v>1150000</v>
      </c>
      <c r="H11" s="1">
        <v>155000</v>
      </c>
      <c r="I11" s="1">
        <v>1305000</v>
      </c>
      <c r="J11" s="1">
        <v>1150000</v>
      </c>
    </row>
    <row r="12" spans="1:17" x14ac:dyDescent="0.3">
      <c r="A12" s="1">
        <v>11</v>
      </c>
      <c r="B12" s="1" t="s">
        <v>39</v>
      </c>
      <c r="C12" s="1" t="s">
        <v>9</v>
      </c>
      <c r="D12" s="1" t="s">
        <v>40</v>
      </c>
      <c r="E12" s="1" t="s">
        <v>41</v>
      </c>
      <c r="F12" s="1" t="s">
        <v>12</v>
      </c>
      <c r="G12" s="1">
        <v>950000</v>
      </c>
      <c r="H12" s="1">
        <v>130000</v>
      </c>
      <c r="I12" s="1">
        <v>1080000</v>
      </c>
      <c r="J12" s="1">
        <v>900000</v>
      </c>
    </row>
    <row r="13" spans="1:17" x14ac:dyDescent="0.3">
      <c r="A13" s="1">
        <v>12</v>
      </c>
      <c r="B13" s="1" t="s">
        <v>42</v>
      </c>
      <c r="C13" s="1" t="s">
        <v>14</v>
      </c>
      <c r="D13" s="1" t="s">
        <v>40</v>
      </c>
      <c r="E13" s="1" t="s">
        <v>27</v>
      </c>
      <c r="F13" s="1" t="s">
        <v>12</v>
      </c>
      <c r="G13" s="1">
        <v>720000</v>
      </c>
      <c r="H13" s="1">
        <v>110000</v>
      </c>
      <c r="I13" s="1">
        <v>830000</v>
      </c>
      <c r="J13" s="1">
        <v>1000000</v>
      </c>
    </row>
    <row r="14" spans="1:17" x14ac:dyDescent="0.3">
      <c r="A14" s="1">
        <v>13</v>
      </c>
      <c r="B14" s="1" t="s">
        <v>43</v>
      </c>
      <c r="C14" s="1" t="s">
        <v>17</v>
      </c>
      <c r="D14" s="1" t="s">
        <v>44</v>
      </c>
      <c r="E14" s="1" t="s">
        <v>11</v>
      </c>
      <c r="F14" s="1" t="s">
        <v>38</v>
      </c>
      <c r="G14" s="1">
        <v>820000</v>
      </c>
      <c r="H14" s="1">
        <v>125000</v>
      </c>
      <c r="I14" s="1">
        <v>945000</v>
      </c>
      <c r="J14" s="1">
        <v>1200000</v>
      </c>
    </row>
    <row r="15" spans="1:17" x14ac:dyDescent="0.3">
      <c r="A15" s="1">
        <v>14</v>
      </c>
      <c r="B15" s="1" t="s">
        <v>45</v>
      </c>
      <c r="C15" s="1" t="s">
        <v>9</v>
      </c>
      <c r="D15" s="1" t="s">
        <v>44</v>
      </c>
      <c r="E15" s="1" t="s">
        <v>21</v>
      </c>
      <c r="F15" s="1" t="s">
        <v>12</v>
      </c>
      <c r="G15" s="1">
        <v>1520000</v>
      </c>
      <c r="H15" s="1">
        <v>260000</v>
      </c>
      <c r="I15" s="1">
        <v>1780000</v>
      </c>
      <c r="J15" s="1">
        <v>2100000</v>
      </c>
    </row>
    <row r="16" spans="1:17" x14ac:dyDescent="0.3">
      <c r="A16" s="1">
        <v>15</v>
      </c>
      <c r="B16" s="1" t="s">
        <v>46</v>
      </c>
      <c r="C16" s="1" t="s">
        <v>14</v>
      </c>
      <c r="D16" s="1" t="s">
        <v>47</v>
      </c>
      <c r="E16" s="1" t="s">
        <v>24</v>
      </c>
      <c r="F16" s="1" t="s">
        <v>12</v>
      </c>
      <c r="G16" s="1">
        <v>1620000</v>
      </c>
      <c r="H16" s="1">
        <v>280000</v>
      </c>
      <c r="I16" s="1">
        <v>1900000</v>
      </c>
      <c r="J16" s="1">
        <v>2300000</v>
      </c>
    </row>
    <row r="17" spans="1:10" x14ac:dyDescent="0.3">
      <c r="A17" s="1">
        <v>16</v>
      </c>
      <c r="B17" s="1" t="s">
        <v>48</v>
      </c>
      <c r="C17" s="1" t="s">
        <v>17</v>
      </c>
      <c r="D17" s="1" t="s">
        <v>47</v>
      </c>
      <c r="E17" s="1" t="s">
        <v>15</v>
      </c>
      <c r="F17" s="1" t="s">
        <v>25</v>
      </c>
      <c r="G17" s="1">
        <v>650000</v>
      </c>
      <c r="H17" s="1">
        <v>100000</v>
      </c>
      <c r="I17" s="1">
        <v>750000</v>
      </c>
      <c r="J17" s="1">
        <v>950000</v>
      </c>
    </row>
    <row r="18" spans="1:10" x14ac:dyDescent="0.3">
      <c r="A18" s="1">
        <v>17</v>
      </c>
      <c r="B18" s="1" t="s">
        <v>49</v>
      </c>
      <c r="C18" s="1" t="s">
        <v>9</v>
      </c>
      <c r="D18" s="1" t="s">
        <v>50</v>
      </c>
      <c r="E18" s="1" t="s">
        <v>32</v>
      </c>
      <c r="F18" s="1" t="s">
        <v>12</v>
      </c>
      <c r="G18" s="1">
        <v>1100000</v>
      </c>
      <c r="H18" s="1">
        <v>180000</v>
      </c>
      <c r="I18" s="1">
        <v>1280000</v>
      </c>
      <c r="J18" s="1">
        <v>1700000</v>
      </c>
    </row>
    <row r="19" spans="1:10" x14ac:dyDescent="0.3">
      <c r="A19" s="1">
        <v>18</v>
      </c>
      <c r="B19" s="1" t="s">
        <v>51</v>
      </c>
      <c r="C19" s="1" t="s">
        <v>14</v>
      </c>
      <c r="D19" s="1" t="s">
        <v>50</v>
      </c>
      <c r="E19" s="1" t="s">
        <v>30</v>
      </c>
      <c r="F19" s="1" t="s">
        <v>12</v>
      </c>
      <c r="G19" s="1">
        <v>630000</v>
      </c>
      <c r="H19" s="1">
        <v>95000</v>
      </c>
      <c r="I19" s="1">
        <v>725000</v>
      </c>
      <c r="J19" s="1">
        <v>850000</v>
      </c>
    </row>
    <row r="20" spans="1:10" x14ac:dyDescent="0.3">
      <c r="A20" s="1">
        <v>19</v>
      </c>
      <c r="B20" s="1" t="s">
        <v>52</v>
      </c>
      <c r="C20" s="1" t="s">
        <v>17</v>
      </c>
      <c r="D20" s="1" t="s">
        <v>53</v>
      </c>
      <c r="E20" s="1" t="s">
        <v>19</v>
      </c>
      <c r="F20" s="1" t="s">
        <v>12</v>
      </c>
      <c r="G20" s="1">
        <v>540000</v>
      </c>
      <c r="H20" s="1">
        <v>85000</v>
      </c>
      <c r="I20" s="1">
        <v>625000</v>
      </c>
      <c r="J20" s="1">
        <v>750000</v>
      </c>
    </row>
    <row r="21" spans="1:10" x14ac:dyDescent="0.3">
      <c r="A21" s="1">
        <v>20</v>
      </c>
      <c r="B21" s="1" t="s">
        <v>54</v>
      </c>
      <c r="C21" s="1" t="s">
        <v>9</v>
      </c>
      <c r="D21" s="1" t="s">
        <v>53</v>
      </c>
      <c r="E21" s="1" t="s">
        <v>35</v>
      </c>
      <c r="F21" s="1" t="s">
        <v>38</v>
      </c>
      <c r="G21" s="1">
        <v>1480000</v>
      </c>
      <c r="H21" s="1">
        <v>185000</v>
      </c>
      <c r="I21" s="1">
        <v>1665000</v>
      </c>
      <c r="J21" s="1">
        <v>1500000</v>
      </c>
    </row>
    <row r="22" spans="1:10" x14ac:dyDescent="0.3">
      <c r="A22" s="1">
        <v>21</v>
      </c>
      <c r="B22" s="1" t="s">
        <v>55</v>
      </c>
      <c r="C22" s="1" t="s">
        <v>14</v>
      </c>
      <c r="D22" s="1" t="s">
        <v>56</v>
      </c>
      <c r="E22" s="1" t="s">
        <v>37</v>
      </c>
      <c r="F22" s="1" t="s">
        <v>12</v>
      </c>
      <c r="G22" s="1">
        <v>1180000</v>
      </c>
      <c r="H22" s="1">
        <v>160000</v>
      </c>
      <c r="I22" s="1">
        <v>1340000</v>
      </c>
      <c r="J22" s="1">
        <v>1150000</v>
      </c>
    </row>
    <row r="23" spans="1:10" x14ac:dyDescent="0.3">
      <c r="A23" s="1">
        <v>22</v>
      </c>
      <c r="B23" s="1" t="s">
        <v>57</v>
      </c>
      <c r="C23" s="1" t="s">
        <v>9</v>
      </c>
      <c r="D23" s="1" t="s">
        <v>56</v>
      </c>
      <c r="E23" s="1" t="s">
        <v>27</v>
      </c>
      <c r="F23" s="1" t="s">
        <v>25</v>
      </c>
      <c r="G23" s="1">
        <v>700000</v>
      </c>
      <c r="H23" s="1">
        <v>108000</v>
      </c>
      <c r="I23" s="1">
        <v>808000</v>
      </c>
      <c r="J23" s="1">
        <v>1000000</v>
      </c>
    </row>
    <row r="24" spans="1:10" x14ac:dyDescent="0.3">
      <c r="A24" s="1">
        <v>23</v>
      </c>
      <c r="B24" s="1" t="s">
        <v>58</v>
      </c>
      <c r="C24" s="1" t="s">
        <v>17</v>
      </c>
      <c r="D24" s="1" t="s">
        <v>59</v>
      </c>
      <c r="E24" s="1" t="s">
        <v>11</v>
      </c>
      <c r="F24" s="1" t="s">
        <v>12</v>
      </c>
      <c r="G24" s="1">
        <v>800000</v>
      </c>
      <c r="H24" s="1">
        <v>122000</v>
      </c>
      <c r="I24" s="1">
        <v>922000</v>
      </c>
      <c r="J24" s="1">
        <v>1200000</v>
      </c>
    </row>
    <row r="25" spans="1:10" x14ac:dyDescent="0.3">
      <c r="A25" s="1">
        <v>24</v>
      </c>
      <c r="B25" s="1" t="s">
        <v>60</v>
      </c>
      <c r="C25" s="1" t="s">
        <v>9</v>
      </c>
      <c r="D25" s="1" t="s">
        <v>59</v>
      </c>
      <c r="E25" s="1" t="s">
        <v>21</v>
      </c>
      <c r="F25" s="1" t="s">
        <v>12</v>
      </c>
      <c r="G25" s="1">
        <v>1480000</v>
      </c>
      <c r="H25" s="1">
        <v>255000</v>
      </c>
      <c r="I25" s="1">
        <v>1735000</v>
      </c>
      <c r="J25" s="1">
        <v>2100000</v>
      </c>
    </row>
    <row r="26" spans="1:10" x14ac:dyDescent="0.3">
      <c r="A26" s="1">
        <v>25</v>
      </c>
      <c r="B26" s="1" t="s">
        <v>61</v>
      </c>
      <c r="C26" s="1" t="s">
        <v>14</v>
      </c>
      <c r="D26" s="1" t="s">
        <v>62</v>
      </c>
      <c r="E26" s="1" t="s">
        <v>24</v>
      </c>
      <c r="F26" s="1" t="s">
        <v>38</v>
      </c>
      <c r="G26" s="1">
        <v>1580000</v>
      </c>
      <c r="H26" s="1">
        <v>275000</v>
      </c>
      <c r="I26" s="1">
        <v>1855000</v>
      </c>
      <c r="J26" s="1">
        <v>2300000</v>
      </c>
    </row>
    <row r="27" spans="1:10" x14ac:dyDescent="0.3">
      <c r="A27" s="1">
        <v>26</v>
      </c>
      <c r="B27" s="1" t="s">
        <v>63</v>
      </c>
      <c r="C27" s="1" t="s">
        <v>17</v>
      </c>
      <c r="D27" s="1" t="s">
        <v>62</v>
      </c>
      <c r="E27" s="1" t="s">
        <v>15</v>
      </c>
      <c r="F27" s="1" t="s">
        <v>12</v>
      </c>
      <c r="G27" s="1">
        <v>635000</v>
      </c>
      <c r="H27" s="1">
        <v>97000</v>
      </c>
      <c r="I27" s="1">
        <v>732000</v>
      </c>
      <c r="J27" s="1">
        <v>950000</v>
      </c>
    </row>
    <row r="28" spans="1:10" x14ac:dyDescent="0.3">
      <c r="A28" s="1">
        <v>27</v>
      </c>
      <c r="B28" s="1" t="s">
        <v>64</v>
      </c>
      <c r="C28" s="1" t="s">
        <v>9</v>
      </c>
      <c r="D28" s="1" t="s">
        <v>65</v>
      </c>
      <c r="E28" s="1" t="s">
        <v>32</v>
      </c>
      <c r="F28" s="1" t="s">
        <v>12</v>
      </c>
      <c r="G28" s="1">
        <v>1080000</v>
      </c>
      <c r="H28" s="1">
        <v>178000</v>
      </c>
      <c r="I28" s="1">
        <v>1258000</v>
      </c>
      <c r="J28" s="1">
        <v>1700000</v>
      </c>
    </row>
    <row r="29" spans="1:10" x14ac:dyDescent="0.3">
      <c r="A29" s="1">
        <v>28</v>
      </c>
      <c r="B29" s="1" t="s">
        <v>66</v>
      </c>
      <c r="C29" s="1" t="s">
        <v>14</v>
      </c>
      <c r="D29" s="1" t="s">
        <v>65</v>
      </c>
      <c r="E29" s="1" t="s">
        <v>41</v>
      </c>
      <c r="F29" s="1" t="s">
        <v>12</v>
      </c>
      <c r="G29" s="1">
        <v>980000</v>
      </c>
      <c r="H29" s="1">
        <v>135000</v>
      </c>
      <c r="I29" s="1">
        <v>1115000</v>
      </c>
      <c r="J29" s="1">
        <v>900000</v>
      </c>
    </row>
    <row r="30" spans="1:10" x14ac:dyDescent="0.3">
      <c r="A30" s="1">
        <v>29</v>
      </c>
      <c r="B30" s="1" t="s">
        <v>67</v>
      </c>
      <c r="C30" s="1" t="s">
        <v>17</v>
      </c>
      <c r="D30" s="1" t="s">
        <v>68</v>
      </c>
      <c r="E30" s="1" t="s">
        <v>30</v>
      </c>
      <c r="F30" s="1" t="s">
        <v>25</v>
      </c>
      <c r="G30" s="1">
        <v>625000</v>
      </c>
      <c r="H30" s="1">
        <v>92000</v>
      </c>
      <c r="I30" s="1">
        <v>717000</v>
      </c>
      <c r="J30" s="1">
        <v>850000</v>
      </c>
    </row>
    <row r="31" spans="1:10" x14ac:dyDescent="0.3">
      <c r="A31" s="1">
        <v>30</v>
      </c>
      <c r="B31" s="1" t="s">
        <v>69</v>
      </c>
      <c r="C31" s="1" t="s">
        <v>9</v>
      </c>
      <c r="D31" s="1" t="s">
        <v>68</v>
      </c>
      <c r="E31" s="1" t="s">
        <v>11</v>
      </c>
      <c r="F31" s="1" t="s">
        <v>12</v>
      </c>
      <c r="G31" s="1">
        <v>850000</v>
      </c>
      <c r="H31" s="1">
        <v>130000</v>
      </c>
      <c r="I31" s="1">
        <v>980000</v>
      </c>
      <c r="J31" s="1">
        <v>1200000</v>
      </c>
    </row>
    <row r="32" spans="1:10" x14ac:dyDescent="0.3">
      <c r="A32" s="1">
        <v>31</v>
      </c>
      <c r="B32" s="1" t="s">
        <v>70</v>
      </c>
      <c r="C32" s="1" t="s">
        <v>14</v>
      </c>
      <c r="D32" s="1" t="s">
        <v>71</v>
      </c>
      <c r="E32" s="1" t="s">
        <v>35</v>
      </c>
      <c r="F32" s="1" t="s">
        <v>12</v>
      </c>
      <c r="G32" s="1">
        <v>1500000</v>
      </c>
      <c r="H32" s="1">
        <v>190000</v>
      </c>
      <c r="I32" s="1">
        <v>1690000</v>
      </c>
      <c r="J32" s="1">
        <v>1500000</v>
      </c>
    </row>
    <row r="33" spans="1:10" x14ac:dyDescent="0.3">
      <c r="A33" s="1">
        <v>32</v>
      </c>
      <c r="B33" s="1" t="s">
        <v>72</v>
      </c>
      <c r="C33" s="1" t="s">
        <v>17</v>
      </c>
      <c r="D33" s="1" t="s">
        <v>71</v>
      </c>
      <c r="E33" s="1" t="s">
        <v>37</v>
      </c>
      <c r="F33" s="1" t="s">
        <v>38</v>
      </c>
      <c r="G33" s="1">
        <v>1200000</v>
      </c>
      <c r="H33" s="1">
        <v>165000</v>
      </c>
      <c r="I33" s="1">
        <v>1365000</v>
      </c>
      <c r="J33" s="1">
        <v>1150000</v>
      </c>
    </row>
    <row r="34" spans="1:10" x14ac:dyDescent="0.3">
      <c r="A34" s="1">
        <v>33</v>
      </c>
      <c r="B34" s="1" t="s">
        <v>73</v>
      </c>
      <c r="C34" s="1" t="s">
        <v>9</v>
      </c>
      <c r="D34" s="1" t="s">
        <v>74</v>
      </c>
      <c r="E34" s="1" t="s">
        <v>27</v>
      </c>
      <c r="F34" s="1" t="s">
        <v>12</v>
      </c>
      <c r="G34" s="1">
        <v>750000</v>
      </c>
      <c r="H34" s="1">
        <v>115000</v>
      </c>
      <c r="I34" s="1">
        <v>865000</v>
      </c>
      <c r="J34" s="1">
        <v>1000000</v>
      </c>
    </row>
    <row r="35" spans="1:10" x14ac:dyDescent="0.3">
      <c r="A35" s="1">
        <v>34</v>
      </c>
      <c r="B35" s="1" t="s">
        <v>75</v>
      </c>
      <c r="C35" s="1" t="s">
        <v>14</v>
      </c>
      <c r="D35" s="1" t="s">
        <v>74</v>
      </c>
      <c r="E35" s="1" t="s">
        <v>21</v>
      </c>
      <c r="F35" s="1" t="s">
        <v>25</v>
      </c>
      <c r="G35" s="1">
        <v>1550000</v>
      </c>
      <c r="H35" s="1">
        <v>265000</v>
      </c>
      <c r="I35" s="1">
        <v>1815000</v>
      </c>
      <c r="J35" s="1">
        <v>2100000</v>
      </c>
    </row>
    <row r="36" spans="1:10" x14ac:dyDescent="0.3">
      <c r="A36" s="1">
        <v>35</v>
      </c>
      <c r="B36" s="1" t="s">
        <v>76</v>
      </c>
      <c r="C36" s="1" t="s">
        <v>17</v>
      </c>
      <c r="D36" s="1" t="s">
        <v>77</v>
      </c>
      <c r="E36" s="1" t="s">
        <v>24</v>
      </c>
      <c r="F36" s="1" t="s">
        <v>12</v>
      </c>
      <c r="G36" s="1">
        <v>1600000</v>
      </c>
      <c r="H36" s="1">
        <v>278000</v>
      </c>
      <c r="I36" s="1">
        <v>1878000</v>
      </c>
      <c r="J36" s="1">
        <v>2300000</v>
      </c>
    </row>
    <row r="37" spans="1:10" x14ac:dyDescent="0.3">
      <c r="A37" s="1">
        <v>36</v>
      </c>
      <c r="B37" s="1" t="s">
        <v>78</v>
      </c>
      <c r="C37" s="1" t="s">
        <v>9</v>
      </c>
      <c r="D37" s="1" t="s">
        <v>77</v>
      </c>
      <c r="E37" s="1" t="s">
        <v>15</v>
      </c>
      <c r="F37" s="1" t="s">
        <v>12</v>
      </c>
      <c r="G37" s="1">
        <v>670000</v>
      </c>
      <c r="H37" s="1">
        <v>102000</v>
      </c>
      <c r="I37" s="1">
        <v>772000</v>
      </c>
      <c r="J37" s="1">
        <v>950000</v>
      </c>
    </row>
    <row r="38" spans="1:10" x14ac:dyDescent="0.3">
      <c r="A38" s="1">
        <v>37</v>
      </c>
      <c r="B38" s="1" t="s">
        <v>79</v>
      </c>
      <c r="C38" s="1" t="s">
        <v>14</v>
      </c>
      <c r="D38" s="1" t="s">
        <v>80</v>
      </c>
      <c r="E38" s="1" t="s">
        <v>32</v>
      </c>
      <c r="F38" s="1" t="s">
        <v>12</v>
      </c>
      <c r="G38" s="1">
        <v>1120000</v>
      </c>
      <c r="H38" s="1">
        <v>185000</v>
      </c>
      <c r="I38" s="1">
        <v>1305000</v>
      </c>
      <c r="J38" s="1">
        <v>1700000</v>
      </c>
    </row>
    <row r="39" spans="1:10" x14ac:dyDescent="0.3">
      <c r="A39" s="1">
        <v>38</v>
      </c>
      <c r="B39" s="1" t="s">
        <v>81</v>
      </c>
      <c r="C39" s="1" t="s">
        <v>17</v>
      </c>
      <c r="D39" s="1" t="s">
        <v>80</v>
      </c>
      <c r="E39" s="1" t="s">
        <v>19</v>
      </c>
      <c r="F39" s="1" t="s">
        <v>38</v>
      </c>
      <c r="G39" s="1">
        <v>550000</v>
      </c>
      <c r="H39" s="1">
        <v>85000</v>
      </c>
      <c r="I39" s="1">
        <v>635000</v>
      </c>
      <c r="J39" s="1">
        <v>750000</v>
      </c>
    </row>
    <row r="40" spans="1:10" x14ac:dyDescent="0.3">
      <c r="A40" s="1">
        <v>39</v>
      </c>
      <c r="B40" s="1" t="s">
        <v>82</v>
      </c>
      <c r="C40" s="1" t="s">
        <v>9</v>
      </c>
      <c r="D40" s="1" t="s">
        <v>83</v>
      </c>
      <c r="E40" s="1" t="s">
        <v>30</v>
      </c>
      <c r="F40" s="1" t="s">
        <v>12</v>
      </c>
      <c r="G40" s="1">
        <v>645000</v>
      </c>
      <c r="H40" s="1">
        <v>98000</v>
      </c>
      <c r="I40" s="1">
        <v>743000</v>
      </c>
      <c r="J40" s="1">
        <v>850000</v>
      </c>
    </row>
    <row r="41" spans="1:10" x14ac:dyDescent="0.3">
      <c r="A41" s="1">
        <v>40</v>
      </c>
      <c r="B41" s="1" t="s">
        <v>84</v>
      </c>
      <c r="C41" s="1" t="s">
        <v>14</v>
      </c>
      <c r="D41" s="1" t="s">
        <v>83</v>
      </c>
      <c r="E41" s="1" t="s">
        <v>11</v>
      </c>
      <c r="F41" s="1" t="s">
        <v>12</v>
      </c>
      <c r="G41" s="1">
        <v>870000</v>
      </c>
      <c r="H41" s="1">
        <v>132000</v>
      </c>
      <c r="I41" s="1">
        <v>1002000</v>
      </c>
      <c r="J41" s="1">
        <v>1200000</v>
      </c>
    </row>
    <row r="42" spans="1:10" x14ac:dyDescent="0.3">
      <c r="A42" s="1">
        <v>41</v>
      </c>
      <c r="B42" s="1" t="s">
        <v>85</v>
      </c>
      <c r="C42" s="1" t="s">
        <v>17</v>
      </c>
      <c r="D42" s="1" t="s">
        <v>86</v>
      </c>
      <c r="E42" s="1" t="s">
        <v>35</v>
      </c>
      <c r="F42" s="1" t="s">
        <v>25</v>
      </c>
      <c r="G42" s="1">
        <v>1520000</v>
      </c>
      <c r="H42" s="1">
        <v>195000</v>
      </c>
      <c r="I42" s="1">
        <v>1715000</v>
      </c>
      <c r="J42" s="1">
        <v>1500000</v>
      </c>
    </row>
    <row r="43" spans="1:10" x14ac:dyDescent="0.3">
      <c r="A43" s="1">
        <v>42</v>
      </c>
      <c r="B43" s="1" t="s">
        <v>87</v>
      </c>
      <c r="C43" s="1" t="s">
        <v>9</v>
      </c>
      <c r="D43" s="1" t="s">
        <v>86</v>
      </c>
      <c r="E43" s="1" t="s">
        <v>37</v>
      </c>
      <c r="F43" s="1" t="s">
        <v>12</v>
      </c>
      <c r="G43" s="1">
        <v>1220000</v>
      </c>
      <c r="H43" s="1">
        <v>168000</v>
      </c>
      <c r="I43" s="1">
        <v>1388000</v>
      </c>
      <c r="J43" s="1">
        <v>1150000</v>
      </c>
    </row>
    <row r="44" spans="1:10" x14ac:dyDescent="0.3">
      <c r="A44" s="1">
        <v>43</v>
      </c>
      <c r="B44" s="1" t="s">
        <v>88</v>
      </c>
      <c r="C44" s="1" t="s">
        <v>14</v>
      </c>
      <c r="D44" s="1" t="s">
        <v>89</v>
      </c>
      <c r="E44" s="1" t="s">
        <v>27</v>
      </c>
      <c r="F44" s="1" t="s">
        <v>12</v>
      </c>
      <c r="G44" s="1">
        <v>735000</v>
      </c>
      <c r="H44" s="1">
        <v>112000</v>
      </c>
      <c r="I44" s="1">
        <v>847000</v>
      </c>
      <c r="J44" s="1">
        <v>1000000</v>
      </c>
    </row>
    <row r="45" spans="1:10" x14ac:dyDescent="0.3">
      <c r="A45" s="1">
        <v>44</v>
      </c>
      <c r="B45" s="1" t="s">
        <v>90</v>
      </c>
      <c r="C45" s="1" t="s">
        <v>17</v>
      </c>
      <c r="D45" s="1" t="s">
        <v>89</v>
      </c>
      <c r="E45" s="1" t="s">
        <v>21</v>
      </c>
      <c r="F45" s="1" t="s">
        <v>38</v>
      </c>
      <c r="G45" s="1">
        <v>1500000</v>
      </c>
      <c r="H45" s="1">
        <v>258000</v>
      </c>
      <c r="I45" s="1">
        <v>1758000</v>
      </c>
      <c r="J45" s="1">
        <v>2100000</v>
      </c>
    </row>
    <row r="46" spans="1:10" x14ac:dyDescent="0.3">
      <c r="A46" s="1">
        <v>45</v>
      </c>
      <c r="B46" s="1" t="s">
        <v>91</v>
      </c>
      <c r="C46" s="1" t="s">
        <v>9</v>
      </c>
      <c r="D46" s="1" t="s">
        <v>92</v>
      </c>
      <c r="E46" s="1" t="s">
        <v>24</v>
      </c>
      <c r="F46" s="1" t="s">
        <v>12</v>
      </c>
      <c r="G46" s="1">
        <v>1650000</v>
      </c>
      <c r="H46" s="1">
        <v>285000</v>
      </c>
      <c r="I46" s="1">
        <v>1935000</v>
      </c>
      <c r="J46" s="1">
        <v>2300000</v>
      </c>
    </row>
    <row r="47" spans="1:10" x14ac:dyDescent="0.3">
      <c r="A47" s="1">
        <v>46</v>
      </c>
      <c r="B47" s="1" t="s">
        <v>93</v>
      </c>
      <c r="C47" s="1" t="s">
        <v>14</v>
      </c>
      <c r="D47" s="1" t="s">
        <v>92</v>
      </c>
      <c r="E47" s="1" t="s">
        <v>15</v>
      </c>
      <c r="F47" s="1" t="s">
        <v>25</v>
      </c>
      <c r="G47" s="1">
        <v>680000</v>
      </c>
      <c r="H47" s="1">
        <v>104000</v>
      </c>
      <c r="I47" s="1">
        <v>784000</v>
      </c>
      <c r="J47" s="1">
        <v>950000</v>
      </c>
    </row>
    <row r="48" spans="1:10" x14ac:dyDescent="0.3">
      <c r="A48" s="1">
        <v>47</v>
      </c>
      <c r="B48" s="1" t="s">
        <v>94</v>
      </c>
      <c r="C48" s="1" t="s">
        <v>17</v>
      </c>
      <c r="D48" s="1" t="s">
        <v>95</v>
      </c>
      <c r="E48" s="1" t="s">
        <v>32</v>
      </c>
      <c r="F48" s="1" t="s">
        <v>12</v>
      </c>
      <c r="G48" s="1">
        <v>1150000</v>
      </c>
      <c r="H48" s="1">
        <v>190000</v>
      </c>
      <c r="I48" s="1">
        <v>1340000</v>
      </c>
      <c r="J48" s="1">
        <v>1700000</v>
      </c>
    </row>
    <row r="49" spans="1:10" x14ac:dyDescent="0.3">
      <c r="A49" s="1">
        <v>48</v>
      </c>
      <c r="B49" s="1" t="s">
        <v>96</v>
      </c>
      <c r="C49" s="1" t="s">
        <v>9</v>
      </c>
      <c r="D49" s="1" t="s">
        <v>95</v>
      </c>
      <c r="E49" s="1" t="s">
        <v>41</v>
      </c>
      <c r="F49" s="1" t="s">
        <v>12</v>
      </c>
      <c r="G49" s="1">
        <v>1000000</v>
      </c>
      <c r="H49" s="1">
        <v>138000</v>
      </c>
      <c r="I49" s="1">
        <v>1138000</v>
      </c>
      <c r="J49" s="1">
        <v>750000</v>
      </c>
    </row>
    <row r="50" spans="1:10" x14ac:dyDescent="0.3">
      <c r="A50" s="1">
        <v>49</v>
      </c>
      <c r="B50" s="1" t="s">
        <v>97</v>
      </c>
      <c r="C50" s="1" t="s">
        <v>14</v>
      </c>
      <c r="D50" s="1" t="s">
        <v>98</v>
      </c>
      <c r="E50" s="1" t="s">
        <v>30</v>
      </c>
      <c r="F50" s="1" t="s">
        <v>12</v>
      </c>
      <c r="G50" s="1">
        <v>660000</v>
      </c>
      <c r="H50" s="1">
        <v>100000</v>
      </c>
      <c r="I50" s="1">
        <v>760000</v>
      </c>
      <c r="J50" s="1">
        <v>850000</v>
      </c>
    </row>
    <row r="51" spans="1:10" x14ac:dyDescent="0.3">
      <c r="A51" s="1">
        <v>50</v>
      </c>
      <c r="B51" s="1" t="s">
        <v>99</v>
      </c>
      <c r="C51" s="1" t="s">
        <v>9</v>
      </c>
      <c r="D51" s="1" t="s">
        <v>98</v>
      </c>
      <c r="E51" s="1" t="s">
        <v>11</v>
      </c>
      <c r="F51" s="1" t="s">
        <v>12</v>
      </c>
      <c r="G51" s="1">
        <v>880000</v>
      </c>
      <c r="H51" s="1">
        <v>135000</v>
      </c>
      <c r="I51" s="1">
        <v>1015000</v>
      </c>
      <c r="J51" s="1">
        <v>1200000</v>
      </c>
    </row>
    <row r="54" spans="1:10" x14ac:dyDescent="0.3">
      <c r="A54" s="39" t="s">
        <v>118</v>
      </c>
      <c r="B54" s="39" t="s">
        <v>120</v>
      </c>
      <c r="C54" s="39" t="s">
        <v>121</v>
      </c>
      <c r="D54" s="39" t="s">
        <v>122</v>
      </c>
      <c r="E54" s="40" t="s">
        <v>123</v>
      </c>
      <c r="F54" s="42" t="s">
        <v>124</v>
      </c>
    </row>
    <row r="55" spans="1:10" x14ac:dyDescent="0.3">
      <c r="A55" s="47" t="s">
        <v>119</v>
      </c>
      <c r="B55" s="41">
        <f>SUM(G2:G51)</f>
        <v>51250000</v>
      </c>
      <c r="C55" s="41">
        <f>SUM(H2:H51)</f>
        <v>7922000</v>
      </c>
      <c r="D55" s="41">
        <f>SUM(J2:J51)</f>
        <v>67100000</v>
      </c>
      <c r="E55" s="43">
        <f>D55-F55</f>
        <v>7928000</v>
      </c>
      <c r="F55" s="43">
        <f>SUM(B55:C55)</f>
        <v>59172000</v>
      </c>
    </row>
    <row r="56" spans="1:10" ht="21" x14ac:dyDescent="0.4">
      <c r="A56" s="48" t="s">
        <v>101</v>
      </c>
      <c r="B56" s="49" t="s">
        <v>108</v>
      </c>
      <c r="C56" s="50" t="s">
        <v>109</v>
      </c>
      <c r="D56" s="51" t="s">
        <v>104</v>
      </c>
    </row>
    <row r="57" spans="1:10" ht="18" x14ac:dyDescent="0.35">
      <c r="A57" s="44">
        <f>SUMIF(Table1[Delivery Status],F4,Table1[On Road Price])</f>
        <v>45600000</v>
      </c>
      <c r="B57" s="45">
        <f>A57-SUM(Table1[Product Cost])</f>
        <v>-5650000</v>
      </c>
      <c r="C57" s="45">
        <f>B57+SUM(H2:H51)</f>
        <v>2272000</v>
      </c>
      <c r="D57" s="46">
        <f>D55-F55</f>
        <v>7928000</v>
      </c>
    </row>
    <row r="60" spans="1:10" x14ac:dyDescent="0.3">
      <c r="H60" s="2">
        <f>Table9[total cost]</f>
        <v>59172000</v>
      </c>
    </row>
    <row r="63" spans="1:10" x14ac:dyDescent="0.3">
      <c r="E63" s="2">
        <f>Table10[Estimated P&amp;L]</f>
        <v>7928000</v>
      </c>
    </row>
    <row r="64" spans="1:10" x14ac:dyDescent="0.3">
      <c r="D64" s="2">
        <f>Table10[Realised P&amp;L]</f>
        <v>2272000</v>
      </c>
    </row>
    <row r="65" spans="2:3" x14ac:dyDescent="0.3">
      <c r="C65" s="2">
        <f>Table10[Unrealised P&amp;L]</f>
        <v>-5650000</v>
      </c>
    </row>
    <row r="66" spans="2:3" x14ac:dyDescent="0.3">
      <c r="B66" s="2">
        <f>Table10[Total generated revenue]</f>
        <v>45600000</v>
      </c>
    </row>
  </sheetData>
  <phoneticPr fontId="13"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E8C0-B77C-4EBB-9E63-2CA98E8A1BCA}">
  <dimension ref="A1:W30"/>
  <sheetViews>
    <sheetView tabSelected="1" topLeftCell="A2" zoomScale="76" zoomScaleNormal="76" zoomScaleSheetLayoutView="30" workbookViewId="0">
      <selection activeCell="N13" sqref="N13"/>
    </sheetView>
  </sheetViews>
  <sheetFormatPr defaultRowHeight="14.4" x14ac:dyDescent="0.3"/>
  <cols>
    <col min="1" max="1" width="10.44140625" customWidth="1"/>
    <col min="2" max="2" width="20.77734375" customWidth="1"/>
    <col min="3" max="3" width="27.5546875" customWidth="1"/>
    <col min="4" max="4" width="12.77734375" customWidth="1"/>
    <col min="5" max="5" width="10.44140625" customWidth="1"/>
    <col min="6" max="6" width="13.21875" customWidth="1"/>
    <col min="7" max="7" width="11.77734375" customWidth="1"/>
    <col min="8" max="8" width="10.21875" customWidth="1"/>
    <col min="9" max="9" width="12.109375" customWidth="1"/>
    <col min="10" max="10" width="10.6640625" customWidth="1"/>
    <col min="11" max="11" width="31" customWidth="1"/>
    <col min="12" max="12" width="24.5546875" customWidth="1"/>
    <col min="13" max="13" width="19.5546875" customWidth="1"/>
    <col min="14" max="14" width="15.6640625" bestFit="1" customWidth="1"/>
    <col min="15" max="15" width="5.77734375" customWidth="1"/>
    <col min="16" max="16" width="17.5546875" customWidth="1"/>
    <col min="17" max="17" width="17.21875" customWidth="1"/>
    <col min="18" max="18" width="20.6640625" bestFit="1" customWidth="1"/>
  </cols>
  <sheetData>
    <row r="1" spans="1:23" ht="14.4" customHeight="1" x14ac:dyDescent="0.3">
      <c r="A1" s="57" t="s">
        <v>127</v>
      </c>
      <c r="B1" s="57"/>
      <c r="C1" s="57"/>
      <c r="D1" s="57"/>
      <c r="E1" s="57"/>
      <c r="F1" s="57"/>
      <c r="G1" s="57"/>
      <c r="H1" s="57"/>
      <c r="I1" s="57"/>
      <c r="J1" s="57"/>
      <c r="K1" s="57"/>
      <c r="L1" s="57"/>
      <c r="M1" s="57"/>
      <c r="N1" s="57"/>
      <c r="O1" s="57"/>
      <c r="P1" s="57"/>
      <c r="Q1" s="57"/>
      <c r="R1" s="52"/>
      <c r="S1" s="52"/>
      <c r="T1" s="52"/>
      <c r="U1" s="52"/>
      <c r="V1" s="52"/>
      <c r="W1" s="52"/>
    </row>
    <row r="2" spans="1:23" ht="14.4" customHeight="1" x14ac:dyDescent="0.3">
      <c r="A2" s="57"/>
      <c r="B2" s="57"/>
      <c r="C2" s="57"/>
      <c r="D2" s="57"/>
      <c r="E2" s="57"/>
      <c r="F2" s="57"/>
      <c r="G2" s="57"/>
      <c r="H2" s="57"/>
      <c r="I2" s="57"/>
      <c r="J2" s="57"/>
      <c r="K2" s="57"/>
      <c r="L2" s="57"/>
      <c r="M2" s="57"/>
      <c r="N2" s="57"/>
      <c r="O2" s="57"/>
      <c r="P2" s="57"/>
      <c r="Q2" s="57"/>
      <c r="R2" s="52"/>
      <c r="S2" s="52"/>
      <c r="T2" s="52"/>
      <c r="U2" s="52"/>
      <c r="V2" s="52"/>
      <c r="W2" s="52"/>
    </row>
    <row r="3" spans="1:23" ht="14.4" customHeight="1" x14ac:dyDescent="0.3">
      <c r="A3" s="57"/>
      <c r="B3" s="57"/>
      <c r="C3" s="57"/>
      <c r="D3" s="57"/>
      <c r="E3" s="57"/>
      <c r="F3" s="57"/>
      <c r="G3" s="57"/>
      <c r="H3" s="57"/>
      <c r="I3" s="57"/>
      <c r="J3" s="57"/>
      <c r="K3" s="57"/>
      <c r="L3" s="57"/>
      <c r="M3" s="57"/>
      <c r="N3" s="57"/>
      <c r="O3" s="57"/>
      <c r="P3" s="57"/>
      <c r="Q3" s="57"/>
      <c r="R3" s="52"/>
      <c r="S3" s="52"/>
      <c r="T3" s="52"/>
      <c r="U3" s="52"/>
      <c r="V3" s="52"/>
      <c r="W3" s="52"/>
    </row>
    <row r="4" spans="1:23" ht="14.4" customHeight="1" x14ac:dyDescent="0.3">
      <c r="A4" s="57"/>
      <c r="B4" s="57"/>
      <c r="C4" s="57"/>
      <c r="D4" s="57"/>
      <c r="E4" s="57"/>
      <c r="F4" s="57"/>
      <c r="G4" s="57"/>
      <c r="H4" s="57"/>
      <c r="I4" s="57"/>
      <c r="J4" s="57"/>
      <c r="K4" s="57"/>
      <c r="L4" s="57"/>
      <c r="M4" s="57"/>
      <c r="N4" s="57"/>
      <c r="O4" s="57"/>
      <c r="P4" s="57"/>
      <c r="Q4" s="57"/>
      <c r="R4" s="52"/>
      <c r="S4" s="52"/>
      <c r="T4" s="52"/>
      <c r="U4" s="52"/>
      <c r="V4" s="52"/>
      <c r="W4" s="52"/>
    </row>
    <row r="5" spans="1:23" ht="40.200000000000003" customHeight="1" x14ac:dyDescent="0.3">
      <c r="A5" s="79" t="s">
        <v>136</v>
      </c>
      <c r="B5" s="79"/>
      <c r="C5" s="118" t="s">
        <v>30</v>
      </c>
      <c r="D5" s="58" t="s">
        <v>131</v>
      </c>
      <c r="E5" s="60"/>
      <c r="F5" s="58" t="s">
        <v>132</v>
      </c>
      <c r="G5" s="60"/>
      <c r="H5" s="58" t="s">
        <v>133</v>
      </c>
      <c r="I5" s="60"/>
      <c r="J5" s="58" t="s">
        <v>134</v>
      </c>
      <c r="K5" s="60"/>
      <c r="L5" s="58" t="s">
        <v>135</v>
      </c>
      <c r="M5" s="59"/>
      <c r="N5" s="60"/>
      <c r="O5" s="55"/>
      <c r="P5" s="55"/>
      <c r="Q5" s="55"/>
      <c r="R5" s="52"/>
      <c r="S5" s="52"/>
      <c r="T5" s="52"/>
      <c r="U5" s="52"/>
      <c r="V5" s="52"/>
      <c r="W5" s="52"/>
    </row>
    <row r="6" spans="1:23" ht="16.8" customHeight="1" x14ac:dyDescent="0.3">
      <c r="A6" s="80"/>
      <c r="B6" s="80"/>
      <c r="C6" s="78"/>
      <c r="D6" s="72">
        <f>COUNTIFS(Table1[Model Name],$C$5)</f>
        <v>5</v>
      </c>
      <c r="E6" s="73"/>
      <c r="F6" s="61">
        <f>SUMIFS(Table1[On Road Price],Table1[Model Name],$C$5)</f>
        <v>4250000</v>
      </c>
      <c r="G6" s="63"/>
      <c r="H6" s="61">
        <f>IFERROR(AVERAGEIFS(Table1[On Road Price],Table1[Model Name],$C$5),0)</f>
        <v>850000</v>
      </c>
      <c r="I6" s="63"/>
      <c r="J6" s="61">
        <f>SUMIFS(Table1[Product Cost],Table1[Model Name],$C$5)</f>
        <v>3170000</v>
      </c>
      <c r="K6" s="63"/>
      <c r="L6" s="61">
        <f>SUMIFS(Table1[Taxation &amp; Delivery Cost],Table1[Model Name],$C$5)</f>
        <v>475000</v>
      </c>
      <c r="M6" s="62"/>
      <c r="N6" s="63"/>
      <c r="O6" s="55"/>
      <c r="P6" s="55"/>
      <c r="Q6" s="55"/>
      <c r="R6" s="52"/>
      <c r="S6" s="52"/>
      <c r="T6" s="52"/>
      <c r="U6" s="52"/>
      <c r="V6" s="52"/>
      <c r="W6" s="52"/>
    </row>
    <row r="7" spans="1:23" ht="16.8" customHeight="1" x14ac:dyDescent="0.3">
      <c r="A7" s="80"/>
      <c r="B7" s="80"/>
      <c r="C7" s="78"/>
      <c r="D7" s="74"/>
      <c r="E7" s="75"/>
      <c r="F7" s="64"/>
      <c r="G7" s="66"/>
      <c r="H7" s="64"/>
      <c r="I7" s="66"/>
      <c r="J7" s="64"/>
      <c r="K7" s="66"/>
      <c r="L7" s="64"/>
      <c r="M7" s="65"/>
      <c r="N7" s="66"/>
      <c r="O7" s="55"/>
      <c r="P7" s="55"/>
      <c r="Q7" s="55"/>
      <c r="R7" s="52"/>
      <c r="S7" s="52"/>
      <c r="T7" s="52"/>
      <c r="U7" s="52"/>
      <c r="V7" s="52"/>
      <c r="W7" s="52"/>
    </row>
    <row r="8" spans="1:23" ht="16.2" customHeight="1" x14ac:dyDescent="0.3">
      <c r="A8" s="80"/>
      <c r="B8" s="80"/>
      <c r="C8" s="78"/>
      <c r="D8" s="76"/>
      <c r="E8" s="77"/>
      <c r="F8" s="67"/>
      <c r="G8" s="69"/>
      <c r="H8" s="67"/>
      <c r="I8" s="69"/>
      <c r="J8" s="67"/>
      <c r="K8" s="69"/>
      <c r="L8" s="67"/>
      <c r="M8" s="68"/>
      <c r="N8" s="69"/>
      <c r="O8" s="55"/>
      <c r="P8" s="55"/>
      <c r="Q8" s="55"/>
      <c r="R8" s="52"/>
      <c r="S8" s="52"/>
      <c r="T8" s="52"/>
      <c r="U8" s="52"/>
      <c r="V8" s="52"/>
      <c r="W8" s="52"/>
    </row>
    <row r="9" spans="1:23" ht="20.399999999999999" customHeight="1" x14ac:dyDescent="0.3">
      <c r="A9" s="119" t="s">
        <v>128</v>
      </c>
      <c r="B9" s="119"/>
      <c r="C9" s="71">
        <f>Data_Sheet!B66</f>
        <v>45600000</v>
      </c>
      <c r="D9" s="119" t="s">
        <v>129</v>
      </c>
      <c r="E9" s="119"/>
      <c r="F9" s="119"/>
      <c r="G9" s="71">
        <f>Data_Sheet!C65</f>
        <v>-5650000</v>
      </c>
      <c r="H9" s="71"/>
      <c r="I9" s="70" t="s">
        <v>141</v>
      </c>
      <c r="J9" s="70"/>
      <c r="K9" s="82">
        <f>Data_Sheet!D64</f>
        <v>2272000</v>
      </c>
      <c r="L9" s="70" t="s">
        <v>142</v>
      </c>
      <c r="M9" s="70"/>
      <c r="N9" s="71">
        <f>Data_Sheet!E63</f>
        <v>7928000</v>
      </c>
      <c r="O9" s="71"/>
      <c r="P9" s="70" t="s">
        <v>143</v>
      </c>
      <c r="Q9" s="71">
        <f>Data_Sheet!H60</f>
        <v>59172000</v>
      </c>
      <c r="R9" s="53"/>
      <c r="S9" s="53"/>
      <c r="T9" s="53"/>
      <c r="U9" s="53"/>
      <c r="V9" s="53"/>
      <c r="W9" s="53"/>
    </row>
    <row r="10" spans="1:23" ht="20.399999999999999" customHeight="1" thickBot="1" x14ac:dyDescent="0.35">
      <c r="A10" s="119"/>
      <c r="B10" s="119"/>
      <c r="C10" s="71"/>
      <c r="D10" s="119"/>
      <c r="E10" s="119"/>
      <c r="F10" s="119"/>
      <c r="G10" s="71"/>
      <c r="H10" s="71"/>
      <c r="I10" s="70"/>
      <c r="J10" s="70"/>
      <c r="K10" s="71"/>
      <c r="L10" s="70"/>
      <c r="M10" s="70"/>
      <c r="N10" s="71"/>
      <c r="O10" s="71"/>
      <c r="P10" s="70"/>
      <c r="Q10" s="71"/>
    </row>
    <row r="11" spans="1:23" s="8" customFormat="1" ht="19.2" customHeight="1" thickTop="1" thickBot="1" x14ac:dyDescent="0.4">
      <c r="A11" s="98" t="s">
        <v>137</v>
      </c>
      <c r="B11" s="99"/>
      <c r="C11" s="97" t="s">
        <v>131</v>
      </c>
      <c r="D11" s="95" t="s">
        <v>132</v>
      </c>
      <c r="E11" s="96"/>
      <c r="F11" s="96"/>
      <c r="G11" s="93" t="s">
        <v>138</v>
      </c>
      <c r="H11" s="94"/>
      <c r="I11" s="120"/>
      <c r="J11" s="120"/>
      <c r="K11" s="97" t="s">
        <v>4</v>
      </c>
      <c r="L11" s="109" t="s">
        <v>139</v>
      </c>
      <c r="M11" s="56"/>
      <c r="N11" s="56"/>
      <c r="O11" s="56"/>
      <c r="P11" s="56"/>
      <c r="Q11" s="56"/>
    </row>
    <row r="12" spans="1:23" s="8" customFormat="1" ht="19.2" customHeight="1" thickTop="1" thickBot="1" x14ac:dyDescent="0.4">
      <c r="A12" s="101" t="s">
        <v>9</v>
      </c>
      <c r="B12" s="102"/>
      <c r="C12" s="100">
        <f>COUNTIFS(Table1[Model Name],$C$5,Table1[City_Category],$A12)</f>
        <v>1</v>
      </c>
      <c r="D12" s="91">
        <f>SUMIFS(Table1[Final Cost],Table1[Model Name],$C$5,Table1[City_Category],$A12)</f>
        <v>743000</v>
      </c>
      <c r="E12" s="91"/>
      <c r="F12" s="91"/>
      <c r="G12" s="91">
        <f>IFERROR(AVERAGEIFS(Table1[Final Cost],Table1[Model Name],$C$5,Table1[City_Category],$A12),0)</f>
        <v>743000</v>
      </c>
      <c r="H12" s="92"/>
      <c r="I12" s="56"/>
      <c r="J12"/>
      <c r="K12" s="110" t="s">
        <v>12</v>
      </c>
      <c r="L12" s="114">
        <f>COUNTIFS(Table1[Model Name],$C$5,Table1[Delivery Status],$K12)</f>
        <v>4</v>
      </c>
      <c r="M12" s="56"/>
      <c r="N12" s="56"/>
      <c r="O12" s="56"/>
      <c r="P12" s="56"/>
      <c r="Q12" s="56"/>
    </row>
    <row r="13" spans="1:23" s="8" customFormat="1" ht="18" customHeight="1" thickTop="1" thickBot="1" x14ac:dyDescent="0.4">
      <c r="A13" s="83" t="s">
        <v>14</v>
      </c>
      <c r="B13" s="104"/>
      <c r="C13" s="103">
        <f>COUNTIFS(Table1[Model Name],$C$5,Table1[City_Category],$A13)</f>
        <v>2</v>
      </c>
      <c r="D13" s="81">
        <f>SUMIFS(Table1[Final Cost],Table1[Model Name],$C$5,Table1[City_Category],$A13)</f>
        <v>1485000</v>
      </c>
      <c r="E13" s="81"/>
      <c r="F13" s="81"/>
      <c r="G13" s="81">
        <f>IFERROR(AVERAGEIFS(Table1[Final Cost],Table1[Model Name],$C$5,Table1[City_Category],$A13),0)</f>
        <v>742500</v>
      </c>
      <c r="H13" s="84"/>
      <c r="I13" s="56"/>
      <c r="J13" s="56"/>
      <c r="K13" s="111" t="s">
        <v>25</v>
      </c>
      <c r="L13" s="115">
        <f>COUNTIFS(Table1[Model Name],$C$5,Table1[Delivery Status],$K13)</f>
        <v>1</v>
      </c>
      <c r="M13" s="56"/>
      <c r="N13" s="56"/>
      <c r="O13" s="56"/>
      <c r="P13" s="56"/>
      <c r="Q13" s="56"/>
    </row>
    <row r="14" spans="1:23" s="8" customFormat="1" ht="18" customHeight="1" thickTop="1" thickBot="1" x14ac:dyDescent="0.4">
      <c r="A14" s="83" t="s">
        <v>17</v>
      </c>
      <c r="B14" s="105"/>
      <c r="C14" s="106">
        <f>COUNTIFS(Table1[Model Name],$C$5,Table1[City_Category],$A14)</f>
        <v>2</v>
      </c>
      <c r="D14" s="81">
        <f>SUMIFS(Table1[Final Cost],Table1[Model Name],$C$5,Table1[City_Category],$A14)</f>
        <v>1417000</v>
      </c>
      <c r="E14" s="81"/>
      <c r="F14" s="81"/>
      <c r="G14" s="81">
        <f>IFERROR(AVERAGEIFS(Table1[Final Cost],Table1[Model Name],$C$5,Table1[City_Category],$A14),0)</f>
        <v>708500</v>
      </c>
      <c r="H14" s="84"/>
      <c r="I14" s="56"/>
      <c r="J14" s="56"/>
      <c r="K14" s="112" t="s">
        <v>38</v>
      </c>
      <c r="L14" s="115">
        <f>COUNTIFS(Table1[Model Name],$C$5,Table1[Delivery Status],$K14)</f>
        <v>0</v>
      </c>
      <c r="M14" s="56"/>
      <c r="N14" s="56"/>
      <c r="O14" s="56"/>
      <c r="P14" s="56"/>
      <c r="Q14" s="56"/>
    </row>
    <row r="15" spans="1:23" s="8" customFormat="1" ht="23.4" customHeight="1" thickTop="1" thickBot="1" x14ac:dyDescent="0.4">
      <c r="A15" s="85" t="s">
        <v>107</v>
      </c>
      <c r="B15" s="108"/>
      <c r="C15" s="107">
        <f>COUNTIFS(Table1[Model Name],$C$5)</f>
        <v>5</v>
      </c>
      <c r="D15" s="86">
        <f>SUMIFS(Table1[Final Cost],Table1[Model Name],$C$5)</f>
        <v>3645000</v>
      </c>
      <c r="E15" s="87"/>
      <c r="F15" s="88"/>
      <c r="G15" s="89">
        <f>IFERROR(D15/C15,0)</f>
        <v>729000</v>
      </c>
      <c r="H15" s="90"/>
      <c r="I15" s="56"/>
      <c r="J15" s="56"/>
      <c r="K15" s="113" t="s">
        <v>140</v>
      </c>
      <c r="L15" s="116">
        <f>COUNTIFS(Table1[Model Name],$C$5)</f>
        <v>5</v>
      </c>
      <c r="M15" s="56"/>
      <c r="N15" s="56"/>
      <c r="O15" s="56"/>
      <c r="P15" s="56"/>
      <c r="Q15" s="56"/>
    </row>
    <row r="16" spans="1:23" ht="14.4" customHeight="1" thickTop="1" x14ac:dyDescent="0.3">
      <c r="B16" s="10" t="s">
        <v>106</v>
      </c>
      <c r="C16" t="s">
        <v>117</v>
      </c>
      <c r="L16" s="54"/>
    </row>
    <row r="17" spans="2:3" ht="14.4" customHeight="1" x14ac:dyDescent="0.3">
      <c r="B17" s="11" t="s">
        <v>9</v>
      </c>
      <c r="C17">
        <v>17</v>
      </c>
    </row>
    <row r="18" spans="2:3" ht="14.4" customHeight="1" x14ac:dyDescent="0.3">
      <c r="B18" s="11" t="s">
        <v>14</v>
      </c>
      <c r="C18">
        <v>11</v>
      </c>
    </row>
    <row r="19" spans="2:3" ht="14.4" customHeight="1" x14ac:dyDescent="0.3">
      <c r="B19" s="11" t="s">
        <v>17</v>
      </c>
      <c r="C19">
        <v>7</v>
      </c>
    </row>
    <row r="20" spans="2:3" ht="14.4" customHeight="1" x14ac:dyDescent="0.3">
      <c r="B20" s="11" t="s">
        <v>107</v>
      </c>
      <c r="C20">
        <v>35</v>
      </c>
    </row>
    <row r="21" spans="2:3" ht="14.4" customHeight="1" x14ac:dyDescent="0.3"/>
    <row r="22" spans="2:3" ht="14.4" customHeight="1" x14ac:dyDescent="0.3"/>
    <row r="23" spans="2:3" ht="14.4" customHeight="1" x14ac:dyDescent="0.3"/>
    <row r="24" spans="2:3" ht="14.4" customHeight="1" x14ac:dyDescent="0.3"/>
    <row r="25" spans="2:3" ht="14.4" customHeight="1" x14ac:dyDescent="0.3"/>
    <row r="26" spans="2:3" ht="14.4" customHeight="1" x14ac:dyDescent="0.3"/>
    <row r="27" spans="2:3" ht="14.4" customHeight="1" x14ac:dyDescent="0.3"/>
    <row r="28" spans="2:3" ht="14.4" customHeight="1" x14ac:dyDescent="0.3"/>
    <row r="29" spans="2:3" ht="14.4" customHeight="1" x14ac:dyDescent="0.3"/>
    <row r="30" spans="2:3" ht="14.4" customHeight="1" x14ac:dyDescent="0.3"/>
  </sheetData>
  <mergeCells count="38">
    <mergeCell ref="G15:H15"/>
    <mergeCell ref="Q9:Q10"/>
    <mergeCell ref="P9:P10"/>
    <mergeCell ref="K9:K10"/>
    <mergeCell ref="A12:B12"/>
    <mergeCell ref="D12:F12"/>
    <mergeCell ref="G12:H12"/>
    <mergeCell ref="A13:B13"/>
    <mergeCell ref="D13:F13"/>
    <mergeCell ref="G13:H13"/>
    <mergeCell ref="A15:B15"/>
    <mergeCell ref="D15:F15"/>
    <mergeCell ref="F5:G5"/>
    <mergeCell ref="H5:I5"/>
    <mergeCell ref="J5:K5"/>
    <mergeCell ref="A14:B14"/>
    <mergeCell ref="D14:F14"/>
    <mergeCell ref="G14:H14"/>
    <mergeCell ref="A11:B11"/>
    <mergeCell ref="D11:F11"/>
    <mergeCell ref="G11:H11"/>
    <mergeCell ref="A6:B8"/>
    <mergeCell ref="L5:N5"/>
    <mergeCell ref="I9:J10"/>
    <mergeCell ref="L6:N8"/>
    <mergeCell ref="A9:B10"/>
    <mergeCell ref="C9:C10"/>
    <mergeCell ref="D9:F10"/>
    <mergeCell ref="G9:H10"/>
    <mergeCell ref="L9:M10"/>
    <mergeCell ref="N9:O10"/>
    <mergeCell ref="D6:E8"/>
    <mergeCell ref="F6:G8"/>
    <mergeCell ref="H6:I8"/>
    <mergeCell ref="J6:K8"/>
    <mergeCell ref="C6:C8"/>
    <mergeCell ref="A5:B5"/>
    <mergeCell ref="D5:E5"/>
  </mergeCell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9628247-F8C3-4339-9418-8684F6F88C8F}">
          <x14:formula1>
            <xm:f>Data_Sheet!$E$2:$E$51</xm:f>
          </x14:formula1>
          <xm:sqref>C5:C6</xm:sqref>
        </x14:dataValidation>
      </x14:dataValidation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5739-A6D8-4D70-8874-CF2DE6D9F8C6}">
  <dimension ref="A1:B2"/>
  <sheetViews>
    <sheetView workbookViewId="0">
      <selection activeCell="C28" sqref="C28"/>
    </sheetView>
  </sheetViews>
  <sheetFormatPr defaultRowHeight="14.4" x14ac:dyDescent="0.3"/>
  <cols>
    <col min="1" max="1" width="16.44140625" bestFit="1" customWidth="1"/>
    <col min="2" max="2" width="13.109375" bestFit="1" customWidth="1"/>
  </cols>
  <sheetData>
    <row r="1" spans="1:2" ht="18" x14ac:dyDescent="0.35">
      <c r="A1" s="12" t="s">
        <v>102</v>
      </c>
      <c r="B1" s="9" t="s">
        <v>103</v>
      </c>
    </row>
    <row r="2" spans="1:2" ht="18" x14ac:dyDescent="0.35">
      <c r="A2" s="8" t="s">
        <v>38</v>
      </c>
      <c r="B2" s="8">
        <f>COUNTIF(Table1[Delivery Status],Sale_analysis!A2)</f>
        <v>7</v>
      </c>
    </row>
  </sheetData>
  <conditionalFormatting sqref="B2">
    <cfRule type="colorScale" priority="1">
      <colorScale>
        <cfvo type="min"/>
        <cfvo type="percentile" val="50"/>
        <cfvo type="max"/>
        <color rgb="FFF8696B"/>
        <color rgb="FFFCFCFF"/>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9BBA47-41AC-42B8-B2FB-70D4828F6774}">
          <x14:formula1>
            <xm:f>Data_Sheet!$F$21:$F$23</xm:f>
          </x14:formula1>
          <xm:sqref>A2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1B78-50B7-46A7-A943-FA32C71E5CA4}">
  <dimension ref="A3:E16"/>
  <sheetViews>
    <sheetView workbookViewId="0">
      <selection activeCell="A3" sqref="A3"/>
    </sheetView>
  </sheetViews>
  <sheetFormatPr defaultRowHeight="14.4" x14ac:dyDescent="0.3"/>
  <cols>
    <col min="1" max="1" width="18.44140625" bestFit="1" customWidth="1"/>
    <col min="2" max="2" width="15.5546875" bestFit="1" customWidth="1"/>
    <col min="3" max="4" width="9" bestFit="1" customWidth="1"/>
    <col min="5" max="5" width="10.77734375" bestFit="1" customWidth="1"/>
    <col min="6" max="26" width="7" bestFit="1" customWidth="1"/>
    <col min="27" max="44" width="8" bestFit="1" customWidth="1"/>
    <col min="45" max="45" width="10.6640625" bestFit="1" customWidth="1"/>
  </cols>
  <sheetData>
    <row r="3" spans="1:5" x14ac:dyDescent="0.3">
      <c r="A3" s="10" t="s">
        <v>111</v>
      </c>
      <c r="B3" s="10" t="s">
        <v>110</v>
      </c>
    </row>
    <row r="4" spans="1:5" x14ac:dyDescent="0.3">
      <c r="A4" s="10" t="s">
        <v>106</v>
      </c>
      <c r="B4" t="s">
        <v>9</v>
      </c>
      <c r="C4" t="s">
        <v>14</v>
      </c>
      <c r="D4" t="s">
        <v>17</v>
      </c>
      <c r="E4" t="s">
        <v>107</v>
      </c>
    </row>
    <row r="5" spans="1:5" x14ac:dyDescent="0.3">
      <c r="A5" s="11" t="s">
        <v>27</v>
      </c>
      <c r="B5">
        <v>2130000</v>
      </c>
      <c r="C5">
        <v>1455000</v>
      </c>
      <c r="E5">
        <v>3585000</v>
      </c>
    </row>
    <row r="6" spans="1:5" x14ac:dyDescent="0.3">
      <c r="A6" s="11" t="s">
        <v>32</v>
      </c>
      <c r="B6">
        <v>2180000</v>
      </c>
      <c r="C6">
        <v>2170000</v>
      </c>
      <c r="D6">
        <v>1150000</v>
      </c>
      <c r="E6">
        <v>5500000</v>
      </c>
    </row>
    <row r="7" spans="1:5" x14ac:dyDescent="0.3">
      <c r="A7" s="11" t="s">
        <v>21</v>
      </c>
      <c r="B7">
        <v>4450000</v>
      </c>
      <c r="C7">
        <v>1550000</v>
      </c>
      <c r="D7">
        <v>1500000</v>
      </c>
      <c r="E7">
        <v>7500000</v>
      </c>
    </row>
    <row r="8" spans="1:5" x14ac:dyDescent="0.3">
      <c r="A8" s="11" t="s">
        <v>11</v>
      </c>
      <c r="B8">
        <v>2510000</v>
      </c>
      <c r="C8">
        <v>870000</v>
      </c>
      <c r="D8">
        <v>1620000</v>
      </c>
      <c r="E8">
        <v>5000000</v>
      </c>
    </row>
    <row r="9" spans="1:5" x14ac:dyDescent="0.3">
      <c r="A9" s="11" t="s">
        <v>35</v>
      </c>
      <c r="B9">
        <v>2930000</v>
      </c>
      <c r="C9">
        <v>1500000</v>
      </c>
      <c r="D9">
        <v>1520000</v>
      </c>
      <c r="E9">
        <v>5950000</v>
      </c>
    </row>
    <row r="10" spans="1:5" x14ac:dyDescent="0.3">
      <c r="A10" s="11" t="s">
        <v>15</v>
      </c>
      <c r="B10">
        <v>670000</v>
      </c>
      <c r="C10">
        <v>1300000</v>
      </c>
      <c r="D10">
        <v>1285000</v>
      </c>
      <c r="E10">
        <v>3255000</v>
      </c>
    </row>
    <row r="11" spans="1:5" x14ac:dyDescent="0.3">
      <c r="A11" s="11" t="s">
        <v>37</v>
      </c>
      <c r="B11">
        <v>1220000</v>
      </c>
      <c r="C11">
        <v>1180000</v>
      </c>
      <c r="D11">
        <v>2350000</v>
      </c>
      <c r="E11">
        <v>4750000</v>
      </c>
    </row>
    <row r="12" spans="1:5" x14ac:dyDescent="0.3">
      <c r="A12" s="11" t="s">
        <v>24</v>
      </c>
      <c r="B12">
        <v>1650000</v>
      </c>
      <c r="C12">
        <v>4750000</v>
      </c>
      <c r="D12">
        <v>1600000</v>
      </c>
      <c r="E12">
        <v>8000000</v>
      </c>
    </row>
    <row r="13" spans="1:5" x14ac:dyDescent="0.3">
      <c r="A13" s="11" t="s">
        <v>19</v>
      </c>
      <c r="D13">
        <v>1610000</v>
      </c>
      <c r="E13">
        <v>1610000</v>
      </c>
    </row>
    <row r="14" spans="1:5" x14ac:dyDescent="0.3">
      <c r="A14" s="11" t="s">
        <v>41</v>
      </c>
      <c r="B14">
        <v>1950000</v>
      </c>
      <c r="C14">
        <v>980000</v>
      </c>
      <c r="E14">
        <v>2930000</v>
      </c>
    </row>
    <row r="15" spans="1:5" x14ac:dyDescent="0.3">
      <c r="A15" s="11" t="s">
        <v>30</v>
      </c>
      <c r="B15">
        <v>645000</v>
      </c>
      <c r="C15">
        <v>1290000</v>
      </c>
      <c r="D15">
        <v>1235000</v>
      </c>
      <c r="E15">
        <v>3170000</v>
      </c>
    </row>
    <row r="16" spans="1:5" x14ac:dyDescent="0.3">
      <c r="A16" s="11" t="s">
        <v>107</v>
      </c>
      <c r="B16">
        <v>20335000</v>
      </c>
      <c r="C16">
        <v>17045000</v>
      </c>
      <c r="D16">
        <v>13870000</v>
      </c>
      <c r="E16">
        <v>51250000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8350-8FB0-42AB-A00D-40F6DBE543BB}">
  <dimension ref="A1:G51"/>
  <sheetViews>
    <sheetView zoomScale="71" zoomScaleNormal="71" workbookViewId="0">
      <selection activeCell="T10" sqref="T10"/>
    </sheetView>
  </sheetViews>
  <sheetFormatPr defaultRowHeight="14.4" x14ac:dyDescent="0.3"/>
  <cols>
    <col min="1" max="1" width="21.33203125" bestFit="1" customWidth="1"/>
    <col min="2" max="2" width="17.109375" customWidth="1"/>
    <col min="3" max="3" width="14.6640625" customWidth="1"/>
    <col min="4" max="4" width="16.44140625" customWidth="1"/>
  </cols>
  <sheetData>
    <row r="1" spans="1:7" ht="23.4" x14ac:dyDescent="0.45">
      <c r="A1" s="22" t="s">
        <v>105</v>
      </c>
      <c r="B1" s="23" t="s">
        <v>12</v>
      </c>
      <c r="C1" s="23" t="s">
        <v>25</v>
      </c>
      <c r="D1" s="24" t="s">
        <v>38</v>
      </c>
      <c r="F1" s="21"/>
      <c r="G1" s="21"/>
    </row>
    <row r="2" spans="1:7" ht="23.4" x14ac:dyDescent="0.45">
      <c r="A2" s="25" t="s">
        <v>11</v>
      </c>
      <c r="B2" s="26">
        <f>COUNTIFS(Data_Sheet!$E:$E,$A2,Data_Sheet!$F:$F,B$1)</f>
        <v>5</v>
      </c>
      <c r="C2" s="26">
        <f>COUNTIFS(Data_Sheet!$E:$E,$A2,Data_Sheet!$F:$F,C$1)</f>
        <v>0</v>
      </c>
      <c r="D2" s="27">
        <f>COUNTIFS(Data_Sheet!$E:$E,$A2,Data_Sheet!$F:$F,D$1)</f>
        <v>1</v>
      </c>
    </row>
    <row r="3" spans="1:7" ht="23.4" x14ac:dyDescent="0.45">
      <c r="A3" s="28" t="s">
        <v>15</v>
      </c>
      <c r="B3" s="29">
        <f>COUNTIFS(Data_Sheet!$E:$E,$A3,Data_Sheet!$F:$F,B$1)</f>
        <v>3</v>
      </c>
      <c r="C3" s="29">
        <f>COUNTIFS(Data_Sheet!$E:$E,$A3,Data_Sheet!$F:$F,C$1)</f>
        <v>2</v>
      </c>
      <c r="D3" s="30">
        <f>COUNTIFS(Data_Sheet!$E:$E,$A3,Data_Sheet!$F:$F,D$1)</f>
        <v>0</v>
      </c>
    </row>
    <row r="4" spans="1:7" ht="23.4" x14ac:dyDescent="0.45">
      <c r="A4" s="31" t="s">
        <v>19</v>
      </c>
      <c r="B4" s="29">
        <f>COUNTIFS(Data_Sheet!$E:$E,$A4,Data_Sheet!$F:$F,B$1)</f>
        <v>2</v>
      </c>
      <c r="C4" s="29">
        <f>COUNTIFS(Data_Sheet!$E:$E,$A4,Data_Sheet!$F:$F,C$1)</f>
        <v>0</v>
      </c>
      <c r="D4" s="30">
        <f>COUNTIFS(Data_Sheet!$E:$E,$A4,Data_Sheet!$F:$F,D$1)</f>
        <v>1</v>
      </c>
    </row>
    <row r="5" spans="1:7" ht="23.4" x14ac:dyDescent="0.45">
      <c r="A5" s="28" t="s">
        <v>21</v>
      </c>
      <c r="B5" s="29">
        <f>COUNTIFS(Data_Sheet!$E:$E,$A5,Data_Sheet!$F:$F,B$1)</f>
        <v>3</v>
      </c>
      <c r="C5" s="29">
        <f>COUNTIFS(Data_Sheet!$E:$E,$A5,Data_Sheet!$F:$F,C$1)</f>
        <v>1</v>
      </c>
      <c r="D5" s="30">
        <f>COUNTIFS(Data_Sheet!$E:$E,$A5,Data_Sheet!$F:$F,D$1)</f>
        <v>1</v>
      </c>
    </row>
    <row r="6" spans="1:7" ht="23.4" x14ac:dyDescent="0.45">
      <c r="A6" s="31" t="s">
        <v>24</v>
      </c>
      <c r="B6" s="29">
        <f>COUNTIFS(Data_Sheet!$E:$E,$A6,Data_Sheet!$F:$F,B$1)</f>
        <v>3</v>
      </c>
      <c r="C6" s="29">
        <f>COUNTIFS(Data_Sheet!$E:$E,$A6,Data_Sheet!$F:$F,C$1)</f>
        <v>1</v>
      </c>
      <c r="D6" s="30">
        <f>COUNTIFS(Data_Sheet!$E:$E,$A6,Data_Sheet!$F:$F,D$1)</f>
        <v>1</v>
      </c>
    </row>
    <row r="7" spans="1:7" ht="23.4" x14ac:dyDescent="0.45">
      <c r="A7" s="28" t="s">
        <v>27</v>
      </c>
      <c r="B7" s="29">
        <f>COUNTIFS(Data_Sheet!$E:$E,$A7,Data_Sheet!$F:$F,B$1)</f>
        <v>4</v>
      </c>
      <c r="C7" s="29">
        <f>COUNTIFS(Data_Sheet!$E:$E,$A7,Data_Sheet!$F:$F,C$1)</f>
        <v>1</v>
      </c>
      <c r="D7" s="30">
        <f>COUNTIFS(Data_Sheet!$E:$E,$A7,Data_Sheet!$F:$F,D$1)</f>
        <v>0</v>
      </c>
    </row>
    <row r="8" spans="1:7" ht="23.4" x14ac:dyDescent="0.45">
      <c r="A8" s="31" t="s">
        <v>30</v>
      </c>
      <c r="B8" s="29">
        <f>COUNTIFS(Data_Sheet!$E:$E,$A8,Data_Sheet!$F:$F,B$1)</f>
        <v>4</v>
      </c>
      <c r="C8" s="29">
        <f>COUNTIFS(Data_Sheet!$E:$E,$A8,Data_Sheet!$F:$F,C$1)</f>
        <v>1</v>
      </c>
      <c r="D8" s="30">
        <f>COUNTIFS(Data_Sheet!$E:$E,$A8,Data_Sheet!$F:$F,D$1)</f>
        <v>0</v>
      </c>
    </row>
    <row r="9" spans="1:7" ht="23.4" x14ac:dyDescent="0.45">
      <c r="A9" s="28" t="s">
        <v>32</v>
      </c>
      <c r="B9" s="29">
        <f>COUNTIFS(Data_Sheet!$E:$E,$A9,Data_Sheet!$F:$F,B$1)</f>
        <v>4</v>
      </c>
      <c r="C9" s="29">
        <f>COUNTIFS(Data_Sheet!$E:$E,$A9,Data_Sheet!$F:$F,C$1)</f>
        <v>1</v>
      </c>
      <c r="D9" s="30">
        <f>COUNTIFS(Data_Sheet!$E:$E,$A9,Data_Sheet!$F:$F,D$1)</f>
        <v>0</v>
      </c>
    </row>
    <row r="10" spans="1:7" ht="23.4" x14ac:dyDescent="0.45">
      <c r="A10" s="31" t="s">
        <v>35</v>
      </c>
      <c r="B10" s="29">
        <f>COUNTIFS(Data_Sheet!$E:$E,$A10,Data_Sheet!$F:$F,B$1)</f>
        <v>2</v>
      </c>
      <c r="C10" s="29">
        <f>COUNTIFS(Data_Sheet!$E:$E,$A10,Data_Sheet!$F:$F,C$1)</f>
        <v>1</v>
      </c>
      <c r="D10" s="30">
        <f>COUNTIFS(Data_Sheet!$E:$E,$A10,Data_Sheet!$F:$F,D$1)</f>
        <v>1</v>
      </c>
    </row>
    <row r="11" spans="1:7" ht="23.4" x14ac:dyDescent="0.45">
      <c r="A11" s="28" t="s">
        <v>37</v>
      </c>
      <c r="B11" s="29">
        <f>COUNTIFS(Data_Sheet!$E:$E,$A11,Data_Sheet!$F:$F,B$1)</f>
        <v>2</v>
      </c>
      <c r="C11" s="29">
        <f>COUNTIFS(Data_Sheet!$E:$E,$A11,Data_Sheet!$F:$F,C$1)</f>
        <v>0</v>
      </c>
      <c r="D11" s="30">
        <f>COUNTIFS(Data_Sheet!$E:$E,$A11,Data_Sheet!$F:$F,D$1)</f>
        <v>2</v>
      </c>
    </row>
    <row r="12" spans="1:7" ht="23.4" x14ac:dyDescent="0.45">
      <c r="A12" s="31" t="s">
        <v>41</v>
      </c>
      <c r="B12" s="29">
        <f>COUNTIFS(Data_Sheet!$E:$E,$A12,Data_Sheet!$F:$F,B$1)</f>
        <v>3</v>
      </c>
      <c r="C12" s="29">
        <f>COUNTIFS(Data_Sheet!$E:$E,$A12,Data_Sheet!$F:$F,C$1)</f>
        <v>0</v>
      </c>
      <c r="D12" s="30">
        <f>COUNTIFS(Data_Sheet!$E:$E,$A12,Data_Sheet!$F:$F,D$1)</f>
        <v>0</v>
      </c>
    </row>
    <row r="13" spans="1:7" ht="23.4" x14ac:dyDescent="0.45">
      <c r="A13" s="28" t="s">
        <v>27</v>
      </c>
      <c r="B13" s="29">
        <f>COUNTIFS(Data_Sheet!$E:$E,$A13,Data_Sheet!$F:$F,B$1)</f>
        <v>4</v>
      </c>
      <c r="C13" s="29">
        <f>COUNTIFS(Data_Sheet!$E:$E,$A13,Data_Sheet!$F:$F,C$1)</f>
        <v>1</v>
      </c>
      <c r="D13" s="30">
        <f>COUNTIFS(Data_Sheet!$E:$E,$A13,Data_Sheet!$F:$F,D$1)</f>
        <v>0</v>
      </c>
    </row>
    <row r="14" spans="1:7" ht="23.4" x14ac:dyDescent="0.45">
      <c r="A14" s="31" t="s">
        <v>11</v>
      </c>
      <c r="B14" s="29">
        <f>COUNTIFS(Data_Sheet!$E:$E,$A14,Data_Sheet!$F:$F,B$1)</f>
        <v>5</v>
      </c>
      <c r="C14" s="29">
        <f>COUNTIFS(Data_Sheet!$E:$E,$A14,Data_Sheet!$F:$F,C$1)</f>
        <v>0</v>
      </c>
      <c r="D14" s="30">
        <f>COUNTIFS(Data_Sheet!$E:$E,$A14,Data_Sheet!$F:$F,D$1)</f>
        <v>1</v>
      </c>
    </row>
    <row r="15" spans="1:7" ht="23.4" x14ac:dyDescent="0.45">
      <c r="A15" s="28" t="s">
        <v>21</v>
      </c>
      <c r="B15" s="29">
        <f>COUNTIFS(Data_Sheet!$E:$E,$A15,Data_Sheet!$F:$F,B$1)</f>
        <v>3</v>
      </c>
      <c r="C15" s="29">
        <f>COUNTIFS(Data_Sheet!$E:$E,$A15,Data_Sheet!$F:$F,C$1)</f>
        <v>1</v>
      </c>
      <c r="D15" s="30">
        <f>COUNTIFS(Data_Sheet!$E:$E,$A15,Data_Sheet!$F:$F,D$1)</f>
        <v>1</v>
      </c>
    </row>
    <row r="16" spans="1:7" ht="23.4" x14ac:dyDescent="0.45">
      <c r="A16" s="31" t="s">
        <v>24</v>
      </c>
      <c r="B16" s="29">
        <f>COUNTIFS(Data_Sheet!$E:$E,$A16,Data_Sheet!$F:$F,B$1)</f>
        <v>3</v>
      </c>
      <c r="C16" s="29">
        <f>COUNTIFS(Data_Sheet!$E:$E,$A16,Data_Sheet!$F:$F,C$1)</f>
        <v>1</v>
      </c>
      <c r="D16" s="30">
        <f>COUNTIFS(Data_Sheet!$E:$E,$A16,Data_Sheet!$F:$F,D$1)</f>
        <v>1</v>
      </c>
    </row>
    <row r="17" spans="1:4" ht="23.4" x14ac:dyDescent="0.45">
      <c r="A17" s="28" t="s">
        <v>15</v>
      </c>
      <c r="B17" s="29">
        <f>COUNTIFS(Data_Sheet!$E:$E,$A17,Data_Sheet!$F:$F,B$1)</f>
        <v>3</v>
      </c>
      <c r="C17" s="29">
        <f>COUNTIFS(Data_Sheet!$E:$E,$A17,Data_Sheet!$F:$F,C$1)</f>
        <v>2</v>
      </c>
      <c r="D17" s="30">
        <f>COUNTIFS(Data_Sheet!$E:$E,$A17,Data_Sheet!$F:$F,D$1)</f>
        <v>0</v>
      </c>
    </row>
    <row r="18" spans="1:4" ht="23.4" x14ac:dyDescent="0.45">
      <c r="A18" s="31" t="s">
        <v>32</v>
      </c>
      <c r="B18" s="29">
        <f>COUNTIFS(Data_Sheet!$E:$E,$A18,Data_Sheet!$F:$F,B$1)</f>
        <v>4</v>
      </c>
      <c r="C18" s="29">
        <f>COUNTIFS(Data_Sheet!$E:$E,$A18,Data_Sheet!$F:$F,C$1)</f>
        <v>1</v>
      </c>
      <c r="D18" s="30">
        <f>COUNTIFS(Data_Sheet!$E:$E,$A18,Data_Sheet!$F:$F,D$1)</f>
        <v>0</v>
      </c>
    </row>
    <row r="19" spans="1:4" ht="23.4" x14ac:dyDescent="0.45">
      <c r="A19" s="28" t="s">
        <v>30</v>
      </c>
      <c r="B19" s="29">
        <f>COUNTIFS(Data_Sheet!$E:$E,$A19,Data_Sheet!$F:$F,B$1)</f>
        <v>4</v>
      </c>
      <c r="C19" s="29">
        <f>COUNTIFS(Data_Sheet!$E:$E,$A19,Data_Sheet!$F:$F,C$1)</f>
        <v>1</v>
      </c>
      <c r="D19" s="30">
        <f>COUNTIFS(Data_Sheet!$E:$E,$A19,Data_Sheet!$F:$F,D$1)</f>
        <v>0</v>
      </c>
    </row>
    <row r="20" spans="1:4" ht="23.4" x14ac:dyDescent="0.45">
      <c r="A20" s="31" t="s">
        <v>19</v>
      </c>
      <c r="B20" s="29">
        <f>COUNTIFS(Data_Sheet!$E:$E,$A20,Data_Sheet!$F:$F,B$1)</f>
        <v>2</v>
      </c>
      <c r="C20" s="29">
        <f>COUNTIFS(Data_Sheet!$E:$E,$A20,Data_Sheet!$F:$F,C$1)</f>
        <v>0</v>
      </c>
      <c r="D20" s="30">
        <f>COUNTIFS(Data_Sheet!$E:$E,$A20,Data_Sheet!$F:$F,D$1)</f>
        <v>1</v>
      </c>
    </row>
    <row r="21" spans="1:4" ht="23.4" x14ac:dyDescent="0.45">
      <c r="A21" s="28" t="s">
        <v>35</v>
      </c>
      <c r="B21" s="29">
        <f>COUNTIFS(Data_Sheet!$E:$E,$A21,Data_Sheet!$F:$F,B$1)</f>
        <v>2</v>
      </c>
      <c r="C21" s="29">
        <f>COUNTIFS(Data_Sheet!$E:$E,$A21,Data_Sheet!$F:$F,C$1)</f>
        <v>1</v>
      </c>
      <c r="D21" s="30">
        <f>COUNTIFS(Data_Sheet!$E:$E,$A21,Data_Sheet!$F:$F,D$1)</f>
        <v>1</v>
      </c>
    </row>
    <row r="22" spans="1:4" ht="23.4" x14ac:dyDescent="0.45">
      <c r="A22" s="31" t="s">
        <v>37</v>
      </c>
      <c r="B22" s="29">
        <f>COUNTIFS(Data_Sheet!$E:$E,$A22,Data_Sheet!$F:$F,B$1)</f>
        <v>2</v>
      </c>
      <c r="C22" s="29">
        <f>COUNTIFS(Data_Sheet!$E:$E,$A22,Data_Sheet!$F:$F,C$1)</f>
        <v>0</v>
      </c>
      <c r="D22" s="30">
        <f>COUNTIFS(Data_Sheet!$E:$E,$A22,Data_Sheet!$F:$F,D$1)</f>
        <v>2</v>
      </c>
    </row>
    <row r="23" spans="1:4" ht="23.4" x14ac:dyDescent="0.45">
      <c r="A23" s="28" t="s">
        <v>27</v>
      </c>
      <c r="B23" s="29">
        <f>COUNTIFS(Data_Sheet!$E:$E,$A23,Data_Sheet!$F:$F,B$1)</f>
        <v>4</v>
      </c>
      <c r="C23" s="29">
        <f>COUNTIFS(Data_Sheet!$E:$E,$A23,Data_Sheet!$F:$F,C$1)</f>
        <v>1</v>
      </c>
      <c r="D23" s="30">
        <f>COUNTIFS(Data_Sheet!$E:$E,$A23,Data_Sheet!$F:$F,D$1)</f>
        <v>0</v>
      </c>
    </row>
    <row r="24" spans="1:4" ht="23.4" x14ac:dyDescent="0.45">
      <c r="A24" s="31" t="s">
        <v>11</v>
      </c>
      <c r="B24" s="29">
        <f>COUNTIFS(Data_Sheet!$E:$E,$A24,Data_Sheet!$F:$F,B$1)</f>
        <v>5</v>
      </c>
      <c r="C24" s="29">
        <f>COUNTIFS(Data_Sheet!$E:$E,$A24,Data_Sheet!$F:$F,C$1)</f>
        <v>0</v>
      </c>
      <c r="D24" s="30">
        <f>COUNTIFS(Data_Sheet!$E:$E,$A24,Data_Sheet!$F:$F,D$1)</f>
        <v>1</v>
      </c>
    </row>
    <row r="25" spans="1:4" ht="23.4" x14ac:dyDescent="0.45">
      <c r="A25" s="28" t="s">
        <v>21</v>
      </c>
      <c r="B25" s="29">
        <f>COUNTIFS(Data_Sheet!$E:$E,$A25,Data_Sheet!$F:$F,B$1)</f>
        <v>3</v>
      </c>
      <c r="C25" s="29">
        <f>COUNTIFS(Data_Sheet!$E:$E,$A25,Data_Sheet!$F:$F,C$1)</f>
        <v>1</v>
      </c>
      <c r="D25" s="30">
        <f>COUNTIFS(Data_Sheet!$E:$E,$A25,Data_Sheet!$F:$F,D$1)</f>
        <v>1</v>
      </c>
    </row>
    <row r="26" spans="1:4" ht="23.4" x14ac:dyDescent="0.45">
      <c r="A26" s="31" t="s">
        <v>24</v>
      </c>
      <c r="B26" s="29">
        <f>COUNTIFS(Data_Sheet!$E:$E,$A26,Data_Sheet!$F:$F,B$1)</f>
        <v>3</v>
      </c>
      <c r="C26" s="29">
        <f>COUNTIFS(Data_Sheet!$E:$E,$A26,Data_Sheet!$F:$F,C$1)</f>
        <v>1</v>
      </c>
      <c r="D26" s="30">
        <f>COUNTIFS(Data_Sheet!$E:$E,$A26,Data_Sheet!$F:$F,D$1)</f>
        <v>1</v>
      </c>
    </row>
    <row r="27" spans="1:4" ht="23.4" x14ac:dyDescent="0.45">
      <c r="A27" s="28" t="s">
        <v>15</v>
      </c>
      <c r="B27" s="29">
        <f>COUNTIFS(Data_Sheet!$E:$E,$A27,Data_Sheet!$F:$F,B$1)</f>
        <v>3</v>
      </c>
      <c r="C27" s="29">
        <f>COUNTIFS(Data_Sheet!$E:$E,$A27,Data_Sheet!$F:$F,C$1)</f>
        <v>2</v>
      </c>
      <c r="D27" s="30">
        <f>COUNTIFS(Data_Sheet!$E:$E,$A27,Data_Sheet!$F:$F,D$1)</f>
        <v>0</v>
      </c>
    </row>
    <row r="28" spans="1:4" ht="23.4" x14ac:dyDescent="0.45">
      <c r="A28" s="31" t="s">
        <v>32</v>
      </c>
      <c r="B28" s="29">
        <f>COUNTIFS(Data_Sheet!$E:$E,$A28,Data_Sheet!$F:$F,B$1)</f>
        <v>4</v>
      </c>
      <c r="C28" s="29">
        <f>COUNTIFS(Data_Sheet!$E:$E,$A28,Data_Sheet!$F:$F,C$1)</f>
        <v>1</v>
      </c>
      <c r="D28" s="30">
        <f>COUNTIFS(Data_Sheet!$E:$E,$A28,Data_Sheet!$F:$F,D$1)</f>
        <v>0</v>
      </c>
    </row>
    <row r="29" spans="1:4" ht="23.4" x14ac:dyDescent="0.45">
      <c r="A29" s="28" t="s">
        <v>41</v>
      </c>
      <c r="B29" s="29">
        <f>COUNTIFS(Data_Sheet!$E:$E,$A29,Data_Sheet!$F:$F,B$1)</f>
        <v>3</v>
      </c>
      <c r="C29" s="29">
        <f>COUNTIFS(Data_Sheet!$E:$E,$A29,Data_Sheet!$F:$F,C$1)</f>
        <v>0</v>
      </c>
      <c r="D29" s="30">
        <f>COUNTIFS(Data_Sheet!$E:$E,$A29,Data_Sheet!$F:$F,D$1)</f>
        <v>0</v>
      </c>
    </row>
    <row r="30" spans="1:4" ht="23.4" x14ac:dyDescent="0.45">
      <c r="A30" s="31" t="s">
        <v>30</v>
      </c>
      <c r="B30" s="29">
        <f>COUNTIFS(Data_Sheet!$E:$E,$A30,Data_Sheet!$F:$F,B$1)</f>
        <v>4</v>
      </c>
      <c r="C30" s="29">
        <f>COUNTIFS(Data_Sheet!$E:$E,$A30,Data_Sheet!$F:$F,C$1)</f>
        <v>1</v>
      </c>
      <c r="D30" s="30">
        <f>COUNTIFS(Data_Sheet!$E:$E,$A30,Data_Sheet!$F:$F,D$1)</f>
        <v>0</v>
      </c>
    </row>
    <row r="31" spans="1:4" ht="23.4" x14ac:dyDescent="0.45">
      <c r="A31" s="28" t="s">
        <v>11</v>
      </c>
      <c r="B31" s="29">
        <f>COUNTIFS(Data_Sheet!$E:$E,$A31,Data_Sheet!$F:$F,B$1)</f>
        <v>5</v>
      </c>
      <c r="C31" s="29">
        <f>COUNTIFS(Data_Sheet!$E:$E,$A31,Data_Sheet!$F:$F,C$1)</f>
        <v>0</v>
      </c>
      <c r="D31" s="30">
        <f>COUNTIFS(Data_Sheet!$E:$E,$A31,Data_Sheet!$F:$F,D$1)</f>
        <v>1</v>
      </c>
    </row>
    <row r="32" spans="1:4" ht="23.4" x14ac:dyDescent="0.45">
      <c r="A32" s="31" t="s">
        <v>35</v>
      </c>
      <c r="B32" s="29">
        <f>COUNTIFS(Data_Sheet!$E:$E,$A32,Data_Sheet!$F:$F,B$1)</f>
        <v>2</v>
      </c>
      <c r="C32" s="29">
        <f>COUNTIFS(Data_Sheet!$E:$E,$A32,Data_Sheet!$F:$F,C$1)</f>
        <v>1</v>
      </c>
      <c r="D32" s="30">
        <f>COUNTIFS(Data_Sheet!$E:$E,$A32,Data_Sheet!$F:$F,D$1)</f>
        <v>1</v>
      </c>
    </row>
    <row r="33" spans="1:4" ht="23.4" x14ac:dyDescent="0.45">
      <c r="A33" s="28" t="s">
        <v>37</v>
      </c>
      <c r="B33" s="29">
        <f>COUNTIFS(Data_Sheet!$E:$E,$A33,Data_Sheet!$F:$F,B$1)</f>
        <v>2</v>
      </c>
      <c r="C33" s="29">
        <f>COUNTIFS(Data_Sheet!$E:$E,$A33,Data_Sheet!$F:$F,C$1)</f>
        <v>0</v>
      </c>
      <c r="D33" s="30">
        <f>COUNTIFS(Data_Sheet!$E:$E,$A33,Data_Sheet!$F:$F,D$1)</f>
        <v>2</v>
      </c>
    </row>
    <row r="34" spans="1:4" ht="23.4" x14ac:dyDescent="0.45">
      <c r="A34" s="31" t="s">
        <v>27</v>
      </c>
      <c r="B34" s="29">
        <f>COUNTIFS(Data_Sheet!$E:$E,$A34,Data_Sheet!$F:$F,B$1)</f>
        <v>4</v>
      </c>
      <c r="C34" s="29">
        <f>COUNTIFS(Data_Sheet!$E:$E,$A34,Data_Sheet!$F:$F,C$1)</f>
        <v>1</v>
      </c>
      <c r="D34" s="30">
        <f>COUNTIFS(Data_Sheet!$E:$E,$A34,Data_Sheet!$F:$F,D$1)</f>
        <v>0</v>
      </c>
    </row>
    <row r="35" spans="1:4" ht="23.4" x14ac:dyDescent="0.45">
      <c r="A35" s="28" t="s">
        <v>21</v>
      </c>
      <c r="B35" s="29">
        <f>COUNTIFS(Data_Sheet!$E:$E,$A35,Data_Sheet!$F:$F,B$1)</f>
        <v>3</v>
      </c>
      <c r="C35" s="29">
        <f>COUNTIFS(Data_Sheet!$E:$E,$A35,Data_Sheet!$F:$F,C$1)</f>
        <v>1</v>
      </c>
      <c r="D35" s="30">
        <f>COUNTIFS(Data_Sheet!$E:$E,$A35,Data_Sheet!$F:$F,D$1)</f>
        <v>1</v>
      </c>
    </row>
    <row r="36" spans="1:4" ht="23.4" x14ac:dyDescent="0.45">
      <c r="A36" s="31" t="s">
        <v>24</v>
      </c>
      <c r="B36" s="29">
        <f>COUNTIFS(Data_Sheet!$E:$E,$A36,Data_Sheet!$F:$F,B$1)</f>
        <v>3</v>
      </c>
      <c r="C36" s="29">
        <f>COUNTIFS(Data_Sheet!$E:$E,$A36,Data_Sheet!$F:$F,C$1)</f>
        <v>1</v>
      </c>
      <c r="D36" s="30">
        <f>COUNTIFS(Data_Sheet!$E:$E,$A36,Data_Sheet!$F:$F,D$1)</f>
        <v>1</v>
      </c>
    </row>
    <row r="37" spans="1:4" ht="23.4" x14ac:dyDescent="0.45">
      <c r="A37" s="28" t="s">
        <v>15</v>
      </c>
      <c r="B37" s="29">
        <f>COUNTIFS(Data_Sheet!$E:$E,$A37,Data_Sheet!$F:$F,B$1)</f>
        <v>3</v>
      </c>
      <c r="C37" s="29">
        <f>COUNTIFS(Data_Sheet!$E:$E,$A37,Data_Sheet!$F:$F,C$1)</f>
        <v>2</v>
      </c>
      <c r="D37" s="30">
        <f>COUNTIFS(Data_Sheet!$E:$E,$A37,Data_Sheet!$F:$F,D$1)</f>
        <v>0</v>
      </c>
    </row>
    <row r="38" spans="1:4" ht="23.4" x14ac:dyDescent="0.45">
      <c r="A38" s="31" t="s">
        <v>32</v>
      </c>
      <c r="B38" s="29">
        <f>COUNTIFS(Data_Sheet!$E:$E,$A38,Data_Sheet!$F:$F,B$1)</f>
        <v>4</v>
      </c>
      <c r="C38" s="29">
        <f>COUNTIFS(Data_Sheet!$E:$E,$A38,Data_Sheet!$F:$F,C$1)</f>
        <v>1</v>
      </c>
      <c r="D38" s="30">
        <f>COUNTIFS(Data_Sheet!$E:$E,$A38,Data_Sheet!$F:$F,D$1)</f>
        <v>0</v>
      </c>
    </row>
    <row r="39" spans="1:4" ht="23.4" x14ac:dyDescent="0.45">
      <c r="A39" s="28" t="s">
        <v>19</v>
      </c>
      <c r="B39" s="29">
        <f>COUNTIFS(Data_Sheet!$E:$E,$A39,Data_Sheet!$F:$F,B$1)</f>
        <v>2</v>
      </c>
      <c r="C39" s="29">
        <f>COUNTIFS(Data_Sheet!$E:$E,$A39,Data_Sheet!$F:$F,C$1)</f>
        <v>0</v>
      </c>
      <c r="D39" s="30">
        <f>COUNTIFS(Data_Sheet!$E:$E,$A39,Data_Sheet!$F:$F,D$1)</f>
        <v>1</v>
      </c>
    </row>
    <row r="40" spans="1:4" ht="23.4" x14ac:dyDescent="0.45">
      <c r="A40" s="31" t="s">
        <v>30</v>
      </c>
      <c r="B40" s="29">
        <f>COUNTIFS(Data_Sheet!$E:$E,$A40,Data_Sheet!$F:$F,B$1)</f>
        <v>4</v>
      </c>
      <c r="C40" s="29">
        <f>COUNTIFS(Data_Sheet!$E:$E,$A40,Data_Sheet!$F:$F,C$1)</f>
        <v>1</v>
      </c>
      <c r="D40" s="30">
        <f>COUNTIFS(Data_Sheet!$E:$E,$A40,Data_Sheet!$F:$F,D$1)</f>
        <v>0</v>
      </c>
    </row>
    <row r="41" spans="1:4" ht="23.4" x14ac:dyDescent="0.45">
      <c r="A41" s="28" t="s">
        <v>11</v>
      </c>
      <c r="B41" s="29">
        <f>COUNTIFS(Data_Sheet!$E:$E,$A41,Data_Sheet!$F:$F,B$1)</f>
        <v>5</v>
      </c>
      <c r="C41" s="29">
        <f>COUNTIFS(Data_Sheet!$E:$E,$A41,Data_Sheet!$F:$F,C$1)</f>
        <v>0</v>
      </c>
      <c r="D41" s="30">
        <f>COUNTIFS(Data_Sheet!$E:$E,$A41,Data_Sheet!$F:$F,D$1)</f>
        <v>1</v>
      </c>
    </row>
    <row r="42" spans="1:4" ht="23.4" x14ac:dyDescent="0.45">
      <c r="A42" s="31" t="s">
        <v>35</v>
      </c>
      <c r="B42" s="29">
        <f>COUNTIFS(Data_Sheet!$E:$E,$A42,Data_Sheet!$F:$F,B$1)</f>
        <v>2</v>
      </c>
      <c r="C42" s="29">
        <f>COUNTIFS(Data_Sheet!$E:$E,$A42,Data_Sheet!$F:$F,C$1)</f>
        <v>1</v>
      </c>
      <c r="D42" s="30">
        <f>COUNTIFS(Data_Sheet!$E:$E,$A42,Data_Sheet!$F:$F,D$1)</f>
        <v>1</v>
      </c>
    </row>
    <row r="43" spans="1:4" ht="23.4" x14ac:dyDescent="0.45">
      <c r="A43" s="28" t="s">
        <v>37</v>
      </c>
      <c r="B43" s="29">
        <f>COUNTIFS(Data_Sheet!$E:$E,$A43,Data_Sheet!$F:$F,B$1)</f>
        <v>2</v>
      </c>
      <c r="C43" s="29">
        <f>COUNTIFS(Data_Sheet!$E:$E,$A43,Data_Sheet!$F:$F,C$1)</f>
        <v>0</v>
      </c>
      <c r="D43" s="30">
        <f>COUNTIFS(Data_Sheet!$E:$E,$A43,Data_Sheet!$F:$F,D$1)</f>
        <v>2</v>
      </c>
    </row>
    <row r="44" spans="1:4" ht="23.4" x14ac:dyDescent="0.45">
      <c r="A44" s="31" t="s">
        <v>27</v>
      </c>
      <c r="B44" s="29">
        <f>COUNTIFS(Data_Sheet!$E:$E,$A44,Data_Sheet!$F:$F,B$1)</f>
        <v>4</v>
      </c>
      <c r="C44" s="29">
        <f>COUNTIFS(Data_Sheet!$E:$E,$A44,Data_Sheet!$F:$F,C$1)</f>
        <v>1</v>
      </c>
      <c r="D44" s="30">
        <f>COUNTIFS(Data_Sheet!$E:$E,$A44,Data_Sheet!$F:$F,D$1)</f>
        <v>0</v>
      </c>
    </row>
    <row r="45" spans="1:4" ht="23.4" x14ac:dyDescent="0.45">
      <c r="A45" s="28" t="s">
        <v>21</v>
      </c>
      <c r="B45" s="29">
        <f>COUNTIFS(Data_Sheet!$E:$E,$A45,Data_Sheet!$F:$F,B$1)</f>
        <v>3</v>
      </c>
      <c r="C45" s="29">
        <f>COUNTIFS(Data_Sheet!$E:$E,$A45,Data_Sheet!$F:$F,C$1)</f>
        <v>1</v>
      </c>
      <c r="D45" s="30">
        <f>COUNTIFS(Data_Sheet!$E:$E,$A45,Data_Sheet!$F:$F,D$1)</f>
        <v>1</v>
      </c>
    </row>
    <row r="46" spans="1:4" ht="23.4" x14ac:dyDescent="0.45">
      <c r="A46" s="31" t="s">
        <v>24</v>
      </c>
      <c r="B46" s="29">
        <f>COUNTIFS(Data_Sheet!$E:$E,$A46,Data_Sheet!$F:$F,B$1)</f>
        <v>3</v>
      </c>
      <c r="C46" s="29">
        <f>COUNTIFS(Data_Sheet!$E:$E,$A46,Data_Sheet!$F:$F,C$1)</f>
        <v>1</v>
      </c>
      <c r="D46" s="30">
        <f>COUNTIFS(Data_Sheet!$E:$E,$A46,Data_Sheet!$F:$F,D$1)</f>
        <v>1</v>
      </c>
    </row>
    <row r="47" spans="1:4" ht="23.4" x14ac:dyDescent="0.45">
      <c r="A47" s="28" t="s">
        <v>15</v>
      </c>
      <c r="B47" s="29">
        <f>COUNTIFS(Data_Sheet!$E:$E,$A47,Data_Sheet!$F:$F,B$1)</f>
        <v>3</v>
      </c>
      <c r="C47" s="29">
        <f>COUNTIFS(Data_Sheet!$E:$E,$A47,Data_Sheet!$F:$F,C$1)</f>
        <v>2</v>
      </c>
      <c r="D47" s="30">
        <f>COUNTIFS(Data_Sheet!$E:$E,$A47,Data_Sheet!$F:$F,D$1)</f>
        <v>0</v>
      </c>
    </row>
    <row r="48" spans="1:4" ht="23.4" x14ac:dyDescent="0.45">
      <c r="A48" s="31" t="s">
        <v>32</v>
      </c>
      <c r="B48" s="29">
        <f>COUNTIFS(Data_Sheet!$E:$E,$A48,Data_Sheet!$F:$F,B$1)</f>
        <v>4</v>
      </c>
      <c r="C48" s="29">
        <f>COUNTIFS(Data_Sheet!$E:$E,$A48,Data_Sheet!$F:$F,C$1)</f>
        <v>1</v>
      </c>
      <c r="D48" s="30">
        <f>COUNTIFS(Data_Sheet!$E:$E,$A48,Data_Sheet!$F:$F,D$1)</f>
        <v>0</v>
      </c>
    </row>
    <row r="49" spans="1:4" ht="23.4" x14ac:dyDescent="0.45">
      <c r="A49" s="28" t="s">
        <v>41</v>
      </c>
      <c r="B49" s="29">
        <f>COUNTIFS(Data_Sheet!$E:$E,$A49,Data_Sheet!$F:$F,B$1)</f>
        <v>3</v>
      </c>
      <c r="C49" s="29">
        <f>COUNTIFS(Data_Sheet!$E:$E,$A49,Data_Sheet!$F:$F,C$1)</f>
        <v>0</v>
      </c>
      <c r="D49" s="30">
        <f>COUNTIFS(Data_Sheet!$E:$E,$A49,Data_Sheet!$F:$F,D$1)</f>
        <v>0</v>
      </c>
    </row>
    <row r="50" spans="1:4" ht="23.4" x14ac:dyDescent="0.45">
      <c r="A50" s="31" t="s">
        <v>30</v>
      </c>
      <c r="B50" s="29">
        <f>COUNTIFS(Data_Sheet!$E:$E,$A50,Data_Sheet!$F:$F,B$1)</f>
        <v>4</v>
      </c>
      <c r="C50" s="29">
        <f>COUNTIFS(Data_Sheet!$E:$E,$A50,Data_Sheet!$F:$F,C$1)</f>
        <v>1</v>
      </c>
      <c r="D50" s="30">
        <f>COUNTIFS(Data_Sheet!$E:$E,$A50,Data_Sheet!$F:$F,D$1)</f>
        <v>0</v>
      </c>
    </row>
    <row r="51" spans="1:4" ht="23.4" x14ac:dyDescent="0.45">
      <c r="A51" s="32" t="s">
        <v>11</v>
      </c>
      <c r="B51" s="33">
        <f>COUNTIFS(Data_Sheet!$E:$E,$A51,Data_Sheet!$F:$F,B$1)</f>
        <v>5</v>
      </c>
      <c r="C51" s="33">
        <f>COUNTIFS(Data_Sheet!$E:$E,$A51,Data_Sheet!$F:$F,C$1)</f>
        <v>0</v>
      </c>
      <c r="D51" s="34">
        <f>COUNTIFS(Data_Sheet!$E:$E,$A51,Data_Sheet!$F:$F,D$1)</f>
        <v>1</v>
      </c>
    </row>
  </sheetData>
  <conditionalFormatting sqref="B2:D51">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1ADB0B4-CEDD-4223-ABB1-AA0B4B12E0E7}">
          <x14:formula1>
            <xm:f>Data_Sheet!$E$2:$E$51</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3A8B-A2B4-40F7-9B03-D2A4D4256A72}">
  <dimension ref="A1:D4"/>
  <sheetViews>
    <sheetView workbookViewId="0">
      <selection activeCell="I13" sqref="I13"/>
    </sheetView>
  </sheetViews>
  <sheetFormatPr defaultRowHeight="14.4" x14ac:dyDescent="0.3"/>
  <cols>
    <col min="2" max="2" width="11.6640625" customWidth="1"/>
    <col min="3" max="3" width="15.6640625" customWidth="1"/>
    <col min="4" max="4" width="31" customWidth="1"/>
  </cols>
  <sheetData>
    <row r="1" spans="1:4" ht="15" thickBot="1" x14ac:dyDescent="0.35">
      <c r="A1" s="37" t="s">
        <v>112</v>
      </c>
      <c r="B1" s="38" t="s">
        <v>113</v>
      </c>
      <c r="C1" s="38" t="s">
        <v>114</v>
      </c>
      <c r="D1" s="38" t="s">
        <v>115</v>
      </c>
    </row>
    <row r="2" spans="1:4" x14ac:dyDescent="0.3">
      <c r="A2" s="36" t="s">
        <v>9</v>
      </c>
      <c r="B2" s="35">
        <f>COUNTIFS(Data_Sheet!$C:$C,$A2,Data_Sheet!$F:$F,"Delivered")</f>
        <v>17</v>
      </c>
      <c r="C2" s="35">
        <f>SUMIFS(Data_Sheet!$I:$I,Data_Sheet!$C:$C,$A2,Data_Sheet!$F:$F,"Delivered")</f>
        <v>20984000</v>
      </c>
      <c r="D2" s="35">
        <f>AVERAGEIFS(Data_Sheet!$I:$I,Data_Sheet!$C:$C,$A2,Data_Sheet!$F:$F,"Delivered")</f>
        <v>1234352.9411764706</v>
      </c>
    </row>
    <row r="3" spans="1:4" x14ac:dyDescent="0.3">
      <c r="A3" s="36" t="s">
        <v>14</v>
      </c>
      <c r="B3" s="35">
        <f>COUNTIFS(Data_Sheet!$C:$C,$A3,Data_Sheet!$F:$F,"Delivered")</f>
        <v>11</v>
      </c>
      <c r="C3" s="35">
        <f>SUMIFS(Data_Sheet!$I:$I,Data_Sheet!$C:$C,$A3,Data_Sheet!$F:$F,"Delivered")</f>
        <v>12229000</v>
      </c>
      <c r="D3" s="35">
        <f>AVERAGEIFS(Data_Sheet!$I:$I,Data_Sheet!$C:$C,$A3,Data_Sheet!$F:$F,"Delivered")</f>
        <v>1111727.2727272727</v>
      </c>
    </row>
    <row r="4" spans="1:4" x14ac:dyDescent="0.3">
      <c r="A4" s="36" t="s">
        <v>17</v>
      </c>
      <c r="B4" s="35">
        <f>COUNTIFS(Data_Sheet!$C:$C,$A4,Data_Sheet!$F:$F,"Delivered")</f>
        <v>7</v>
      </c>
      <c r="C4" s="35">
        <f>SUMIFS(Data_Sheet!$I:$I,Data_Sheet!$C:$C,$A4,Data_Sheet!$F:$F,"Delivered")</f>
        <v>6797000</v>
      </c>
      <c r="D4" s="35">
        <f>AVERAGEIFS(Data_Sheet!$I:$I,Data_Sheet!$C:$C,$A4,Data_Sheet!$F:$F,"Delivered")</f>
        <v>971000</v>
      </c>
    </row>
  </sheetData>
  <conditionalFormatting sqref="B2:D4">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78B92-2512-4014-AA8E-B8E8261B0069}">
  <dimension ref="A1:B13"/>
  <sheetViews>
    <sheetView workbookViewId="0">
      <selection activeCell="P22" sqref="P22"/>
    </sheetView>
  </sheetViews>
  <sheetFormatPr defaultRowHeight="14.4" x14ac:dyDescent="0.3"/>
  <cols>
    <col min="1" max="1" width="13.109375" bestFit="1" customWidth="1"/>
    <col min="2" max="2" width="21.5546875" bestFit="1" customWidth="1"/>
    <col min="3" max="3" width="10.6640625" bestFit="1" customWidth="1"/>
  </cols>
  <sheetData>
    <row r="1" spans="1:2" x14ac:dyDescent="0.3">
      <c r="A1" s="10" t="s">
        <v>106</v>
      </c>
      <c r="B1" t="s">
        <v>116</v>
      </c>
    </row>
    <row r="2" spans="1:2" x14ac:dyDescent="0.3">
      <c r="A2" s="11" t="s">
        <v>27</v>
      </c>
      <c r="B2" s="117">
        <v>4</v>
      </c>
    </row>
    <row r="3" spans="1:2" x14ac:dyDescent="0.3">
      <c r="A3" s="11" t="s">
        <v>32</v>
      </c>
      <c r="B3" s="117">
        <v>4</v>
      </c>
    </row>
    <row r="4" spans="1:2" x14ac:dyDescent="0.3">
      <c r="A4" s="11" t="s">
        <v>21</v>
      </c>
      <c r="B4" s="117">
        <v>3</v>
      </c>
    </row>
    <row r="5" spans="1:2" x14ac:dyDescent="0.3">
      <c r="A5" s="11" t="s">
        <v>11</v>
      </c>
      <c r="B5" s="117">
        <v>5</v>
      </c>
    </row>
    <row r="6" spans="1:2" x14ac:dyDescent="0.3">
      <c r="A6" s="11" t="s">
        <v>35</v>
      </c>
      <c r="B6" s="117">
        <v>2</v>
      </c>
    </row>
    <row r="7" spans="1:2" x14ac:dyDescent="0.3">
      <c r="A7" s="11" t="s">
        <v>15</v>
      </c>
      <c r="B7" s="117">
        <v>3</v>
      </c>
    </row>
    <row r="8" spans="1:2" x14ac:dyDescent="0.3">
      <c r="A8" s="11" t="s">
        <v>37</v>
      </c>
      <c r="B8" s="117">
        <v>2</v>
      </c>
    </row>
    <row r="9" spans="1:2" x14ac:dyDescent="0.3">
      <c r="A9" s="11" t="s">
        <v>24</v>
      </c>
      <c r="B9" s="117">
        <v>3</v>
      </c>
    </row>
    <row r="10" spans="1:2" x14ac:dyDescent="0.3">
      <c r="A10" s="11" t="s">
        <v>19</v>
      </c>
      <c r="B10" s="117">
        <v>2</v>
      </c>
    </row>
    <row r="11" spans="1:2" x14ac:dyDescent="0.3">
      <c r="A11" s="11" t="s">
        <v>41</v>
      </c>
      <c r="B11" s="117">
        <v>3</v>
      </c>
    </row>
    <row r="12" spans="1:2" x14ac:dyDescent="0.3">
      <c r="A12" s="11" t="s">
        <v>30</v>
      </c>
      <c r="B12" s="117">
        <v>4</v>
      </c>
    </row>
    <row r="13" spans="1:2" x14ac:dyDescent="0.3">
      <c r="A13" s="11" t="s">
        <v>107</v>
      </c>
      <c r="B13" s="117">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1C40-9F4A-4CEE-BB3C-5ED0C4F44FF1}">
  <dimension ref="A1:L37"/>
  <sheetViews>
    <sheetView workbookViewId="0">
      <selection activeCell="L12" sqref="L12"/>
    </sheetView>
  </sheetViews>
  <sheetFormatPr defaultRowHeight="14.4" x14ac:dyDescent="0.3"/>
  <cols>
    <col min="1" max="1" width="17" customWidth="1"/>
    <col min="2" max="2" width="22.109375" customWidth="1"/>
    <col min="3" max="3" width="16.6640625" customWidth="1"/>
    <col min="4" max="4" width="18.5546875" customWidth="1"/>
    <col min="5" max="5" width="22.33203125" customWidth="1"/>
    <col min="6" max="6" width="18.33203125" customWidth="1"/>
    <col min="7" max="7" width="13.88671875" style="20" bestFit="1" customWidth="1"/>
    <col min="11" max="11" width="12.5546875" bestFit="1" customWidth="1"/>
    <col min="12" max="12" width="15.21875" bestFit="1" customWidth="1"/>
  </cols>
  <sheetData>
    <row r="1" spans="1:12" ht="15.6" x14ac:dyDescent="0.3">
      <c r="A1" s="14" t="s">
        <v>0</v>
      </c>
      <c r="B1" s="14" t="s">
        <v>1</v>
      </c>
      <c r="C1" s="14" t="s">
        <v>2</v>
      </c>
      <c r="D1" s="14" t="s">
        <v>3</v>
      </c>
      <c r="E1" s="14" t="s">
        <v>4</v>
      </c>
      <c r="F1" s="14" t="s">
        <v>5</v>
      </c>
      <c r="G1" s="17" t="s">
        <v>7</v>
      </c>
    </row>
    <row r="2" spans="1:12" x14ac:dyDescent="0.3">
      <c r="A2" s="16" t="s">
        <v>8</v>
      </c>
      <c r="B2" s="16" t="s">
        <v>9</v>
      </c>
      <c r="C2" s="16" t="s">
        <v>10</v>
      </c>
      <c r="D2" s="16" t="s">
        <v>11</v>
      </c>
      <c r="E2" s="16" t="s">
        <v>12</v>
      </c>
      <c r="F2" s="16">
        <v>780000</v>
      </c>
      <c r="G2" s="18">
        <v>900000</v>
      </c>
    </row>
    <row r="3" spans="1:12" x14ac:dyDescent="0.3">
      <c r="A3" s="13" t="s">
        <v>13</v>
      </c>
      <c r="B3" s="13" t="s">
        <v>14</v>
      </c>
      <c r="C3" s="13" t="s">
        <v>10</v>
      </c>
      <c r="D3" s="13" t="s">
        <v>15</v>
      </c>
      <c r="E3" s="13" t="s">
        <v>12</v>
      </c>
      <c r="F3" s="13">
        <v>620000</v>
      </c>
      <c r="G3" s="19">
        <v>715000</v>
      </c>
      <c r="K3" s="10" t="s">
        <v>106</v>
      </c>
      <c r="L3" t="s">
        <v>117</v>
      </c>
    </row>
    <row r="4" spans="1:12" x14ac:dyDescent="0.3">
      <c r="A4" s="16" t="s">
        <v>16</v>
      </c>
      <c r="B4" s="16" t="s">
        <v>17</v>
      </c>
      <c r="C4" s="16" t="s">
        <v>18</v>
      </c>
      <c r="D4" s="16" t="s">
        <v>19</v>
      </c>
      <c r="E4" s="16" t="s">
        <v>12</v>
      </c>
      <c r="F4" s="16">
        <v>520000</v>
      </c>
      <c r="G4" s="18">
        <v>600000</v>
      </c>
      <c r="K4" s="11" t="s">
        <v>14</v>
      </c>
      <c r="L4">
        <v>11</v>
      </c>
    </row>
    <row r="5" spans="1:12" x14ac:dyDescent="0.3">
      <c r="A5" s="13" t="s">
        <v>20</v>
      </c>
      <c r="B5" s="13" t="s">
        <v>9</v>
      </c>
      <c r="C5" s="13" t="s">
        <v>18</v>
      </c>
      <c r="D5" s="13" t="s">
        <v>21</v>
      </c>
      <c r="E5" s="13" t="s">
        <v>12</v>
      </c>
      <c r="F5" s="13">
        <v>1450000</v>
      </c>
      <c r="G5" s="19">
        <v>1700000</v>
      </c>
      <c r="K5" s="11" t="s">
        <v>17</v>
      </c>
      <c r="L5">
        <v>7</v>
      </c>
    </row>
    <row r="6" spans="1:12" x14ac:dyDescent="0.3">
      <c r="A6" s="16" t="s">
        <v>26</v>
      </c>
      <c r="B6" s="16" t="s">
        <v>9</v>
      </c>
      <c r="C6" s="16" t="s">
        <v>23</v>
      </c>
      <c r="D6" s="16" t="s">
        <v>27</v>
      </c>
      <c r="E6" s="16" t="s">
        <v>12</v>
      </c>
      <c r="F6" s="16">
        <v>680000</v>
      </c>
      <c r="G6" s="18">
        <v>785000</v>
      </c>
      <c r="K6" s="11" t="s">
        <v>107</v>
      </c>
      <c r="L6">
        <v>18</v>
      </c>
    </row>
    <row r="7" spans="1:12" x14ac:dyDescent="0.3">
      <c r="A7" s="13" t="s">
        <v>28</v>
      </c>
      <c r="B7" s="13" t="s">
        <v>17</v>
      </c>
      <c r="C7" s="13" t="s">
        <v>29</v>
      </c>
      <c r="D7" s="13" t="s">
        <v>30</v>
      </c>
      <c r="E7" s="13" t="s">
        <v>12</v>
      </c>
      <c r="F7" s="13">
        <v>610000</v>
      </c>
      <c r="G7" s="19">
        <v>700000</v>
      </c>
    </row>
    <row r="8" spans="1:12" x14ac:dyDescent="0.3">
      <c r="A8" s="16" t="s">
        <v>33</v>
      </c>
      <c r="B8" s="16" t="s">
        <v>9</v>
      </c>
      <c r="C8" s="16" t="s">
        <v>34</v>
      </c>
      <c r="D8" s="16" t="s">
        <v>35</v>
      </c>
      <c r="E8" s="16" t="s">
        <v>12</v>
      </c>
      <c r="F8" s="16">
        <v>1450000</v>
      </c>
      <c r="G8" s="18">
        <v>1630000</v>
      </c>
      <c r="I8" s="15"/>
    </row>
    <row r="9" spans="1:12" x14ac:dyDescent="0.3">
      <c r="A9" s="13" t="s">
        <v>39</v>
      </c>
      <c r="B9" s="13" t="s">
        <v>9</v>
      </c>
      <c r="C9" s="13" t="s">
        <v>40</v>
      </c>
      <c r="D9" s="13" t="s">
        <v>41</v>
      </c>
      <c r="E9" s="13" t="s">
        <v>12</v>
      </c>
      <c r="F9" s="13">
        <v>950000</v>
      </c>
      <c r="G9" s="19">
        <v>1080000</v>
      </c>
    </row>
    <row r="10" spans="1:12" x14ac:dyDescent="0.3">
      <c r="A10" s="16" t="s">
        <v>42</v>
      </c>
      <c r="B10" s="16" t="s">
        <v>14</v>
      </c>
      <c r="C10" s="16" t="s">
        <v>40</v>
      </c>
      <c r="D10" s="16" t="s">
        <v>27</v>
      </c>
      <c r="E10" s="16" t="s">
        <v>12</v>
      </c>
      <c r="F10" s="16">
        <v>720000</v>
      </c>
      <c r="G10" s="18">
        <v>830000</v>
      </c>
    </row>
    <row r="11" spans="1:12" x14ac:dyDescent="0.3">
      <c r="A11" s="13" t="s">
        <v>45</v>
      </c>
      <c r="B11" s="13" t="s">
        <v>9</v>
      </c>
      <c r="C11" s="13" t="s">
        <v>44</v>
      </c>
      <c r="D11" s="13" t="s">
        <v>21</v>
      </c>
      <c r="E11" s="13" t="s">
        <v>12</v>
      </c>
      <c r="F11" s="13">
        <v>1520000</v>
      </c>
      <c r="G11" s="19">
        <v>1780000</v>
      </c>
    </row>
    <row r="12" spans="1:12" x14ac:dyDescent="0.3">
      <c r="A12" s="16" t="s">
        <v>46</v>
      </c>
      <c r="B12" s="16" t="s">
        <v>14</v>
      </c>
      <c r="C12" s="16" t="s">
        <v>47</v>
      </c>
      <c r="D12" s="16" t="s">
        <v>24</v>
      </c>
      <c r="E12" s="16" t="s">
        <v>12</v>
      </c>
      <c r="F12" s="16">
        <v>1620000</v>
      </c>
      <c r="G12" s="18">
        <v>1900000</v>
      </c>
    </row>
    <row r="13" spans="1:12" x14ac:dyDescent="0.3">
      <c r="A13" s="13" t="s">
        <v>49</v>
      </c>
      <c r="B13" s="13" t="s">
        <v>9</v>
      </c>
      <c r="C13" s="13" t="s">
        <v>50</v>
      </c>
      <c r="D13" s="13" t="s">
        <v>32</v>
      </c>
      <c r="E13" s="13" t="s">
        <v>12</v>
      </c>
      <c r="F13" s="13">
        <v>1100000</v>
      </c>
      <c r="G13" s="19">
        <v>1280000</v>
      </c>
    </row>
    <row r="14" spans="1:12" x14ac:dyDescent="0.3">
      <c r="A14" s="16" t="s">
        <v>51</v>
      </c>
      <c r="B14" s="16" t="s">
        <v>14</v>
      </c>
      <c r="C14" s="16" t="s">
        <v>50</v>
      </c>
      <c r="D14" s="16" t="s">
        <v>30</v>
      </c>
      <c r="E14" s="16" t="s">
        <v>12</v>
      </c>
      <c r="F14" s="16">
        <v>630000</v>
      </c>
      <c r="G14" s="18">
        <v>725000</v>
      </c>
    </row>
    <row r="15" spans="1:12" x14ac:dyDescent="0.3">
      <c r="A15" s="13" t="s">
        <v>52</v>
      </c>
      <c r="B15" s="13" t="s">
        <v>17</v>
      </c>
      <c r="C15" s="13" t="s">
        <v>53</v>
      </c>
      <c r="D15" s="13" t="s">
        <v>19</v>
      </c>
      <c r="E15" s="13" t="s">
        <v>12</v>
      </c>
      <c r="F15" s="13">
        <v>540000</v>
      </c>
      <c r="G15" s="19">
        <v>625000</v>
      </c>
    </row>
    <row r="16" spans="1:12" x14ac:dyDescent="0.3">
      <c r="A16" s="16" t="s">
        <v>55</v>
      </c>
      <c r="B16" s="16" t="s">
        <v>14</v>
      </c>
      <c r="C16" s="16" t="s">
        <v>56</v>
      </c>
      <c r="D16" s="16" t="s">
        <v>37</v>
      </c>
      <c r="E16" s="16" t="s">
        <v>12</v>
      </c>
      <c r="F16" s="16">
        <v>1180000</v>
      </c>
      <c r="G16" s="18">
        <v>1340000</v>
      </c>
    </row>
    <row r="17" spans="1:7" x14ac:dyDescent="0.3">
      <c r="A17" s="13" t="s">
        <v>58</v>
      </c>
      <c r="B17" s="13" t="s">
        <v>17</v>
      </c>
      <c r="C17" s="13" t="s">
        <v>59</v>
      </c>
      <c r="D17" s="13" t="s">
        <v>11</v>
      </c>
      <c r="E17" s="13" t="s">
        <v>12</v>
      </c>
      <c r="F17" s="13">
        <v>800000</v>
      </c>
      <c r="G17" s="19">
        <v>922000</v>
      </c>
    </row>
    <row r="18" spans="1:7" x14ac:dyDescent="0.3">
      <c r="A18" s="16" t="s">
        <v>60</v>
      </c>
      <c r="B18" s="16" t="s">
        <v>9</v>
      </c>
      <c r="C18" s="16" t="s">
        <v>59</v>
      </c>
      <c r="D18" s="16" t="s">
        <v>21</v>
      </c>
      <c r="E18" s="16" t="s">
        <v>12</v>
      </c>
      <c r="F18" s="16">
        <v>1480000</v>
      </c>
      <c r="G18" s="18">
        <v>1735000</v>
      </c>
    </row>
    <row r="19" spans="1:7" x14ac:dyDescent="0.3">
      <c r="A19" s="13" t="s">
        <v>63</v>
      </c>
      <c r="B19" s="13" t="s">
        <v>17</v>
      </c>
      <c r="C19" s="13" t="s">
        <v>62</v>
      </c>
      <c r="D19" s="13" t="s">
        <v>15</v>
      </c>
      <c r="E19" s="13" t="s">
        <v>12</v>
      </c>
      <c r="F19" s="13">
        <v>635000</v>
      </c>
      <c r="G19" s="19">
        <v>732000</v>
      </c>
    </row>
    <row r="20" spans="1:7" x14ac:dyDescent="0.3">
      <c r="A20" s="16" t="s">
        <v>64</v>
      </c>
      <c r="B20" s="16" t="s">
        <v>9</v>
      </c>
      <c r="C20" s="16" t="s">
        <v>65</v>
      </c>
      <c r="D20" s="16" t="s">
        <v>32</v>
      </c>
      <c r="E20" s="16" t="s">
        <v>12</v>
      </c>
      <c r="F20" s="16">
        <v>1080000</v>
      </c>
      <c r="G20" s="18">
        <v>1258000</v>
      </c>
    </row>
    <row r="21" spans="1:7" x14ac:dyDescent="0.3">
      <c r="A21" s="13" t="s">
        <v>66</v>
      </c>
      <c r="B21" s="13" t="s">
        <v>14</v>
      </c>
      <c r="C21" s="13" t="s">
        <v>65</v>
      </c>
      <c r="D21" s="13" t="s">
        <v>41</v>
      </c>
      <c r="E21" s="13" t="s">
        <v>12</v>
      </c>
      <c r="F21" s="13">
        <v>980000</v>
      </c>
      <c r="G21" s="19">
        <v>1115000</v>
      </c>
    </row>
    <row r="22" spans="1:7" x14ac:dyDescent="0.3">
      <c r="A22" s="16" t="s">
        <v>69</v>
      </c>
      <c r="B22" s="16" t="s">
        <v>9</v>
      </c>
      <c r="C22" s="16" t="s">
        <v>68</v>
      </c>
      <c r="D22" s="16" t="s">
        <v>11</v>
      </c>
      <c r="E22" s="16" t="s">
        <v>12</v>
      </c>
      <c r="F22" s="16">
        <v>850000</v>
      </c>
      <c r="G22" s="18">
        <v>980000</v>
      </c>
    </row>
    <row r="23" spans="1:7" x14ac:dyDescent="0.3">
      <c r="A23" s="13" t="s">
        <v>70</v>
      </c>
      <c r="B23" s="13" t="s">
        <v>14</v>
      </c>
      <c r="C23" s="13" t="s">
        <v>71</v>
      </c>
      <c r="D23" s="13" t="s">
        <v>35</v>
      </c>
      <c r="E23" s="13" t="s">
        <v>12</v>
      </c>
      <c r="F23" s="13">
        <v>1500000</v>
      </c>
      <c r="G23" s="19">
        <v>1690000</v>
      </c>
    </row>
    <row r="24" spans="1:7" x14ac:dyDescent="0.3">
      <c r="A24" s="16" t="s">
        <v>73</v>
      </c>
      <c r="B24" s="16" t="s">
        <v>9</v>
      </c>
      <c r="C24" s="16" t="s">
        <v>74</v>
      </c>
      <c r="D24" s="16" t="s">
        <v>27</v>
      </c>
      <c r="E24" s="16" t="s">
        <v>12</v>
      </c>
      <c r="F24" s="16">
        <v>750000</v>
      </c>
      <c r="G24" s="18">
        <v>865000</v>
      </c>
    </row>
    <row r="25" spans="1:7" x14ac:dyDescent="0.3">
      <c r="A25" s="13" t="s">
        <v>76</v>
      </c>
      <c r="B25" s="13" t="s">
        <v>17</v>
      </c>
      <c r="C25" s="13" t="s">
        <v>77</v>
      </c>
      <c r="D25" s="13" t="s">
        <v>24</v>
      </c>
      <c r="E25" s="13" t="s">
        <v>12</v>
      </c>
      <c r="F25" s="13">
        <v>1600000</v>
      </c>
      <c r="G25" s="19">
        <v>1878000</v>
      </c>
    </row>
    <row r="26" spans="1:7" x14ac:dyDescent="0.3">
      <c r="A26" s="16" t="s">
        <v>78</v>
      </c>
      <c r="B26" s="16" t="s">
        <v>9</v>
      </c>
      <c r="C26" s="16" t="s">
        <v>77</v>
      </c>
      <c r="D26" s="16" t="s">
        <v>15</v>
      </c>
      <c r="E26" s="16" t="s">
        <v>12</v>
      </c>
      <c r="F26" s="16">
        <v>670000</v>
      </c>
      <c r="G26" s="18">
        <v>772000</v>
      </c>
    </row>
    <row r="27" spans="1:7" x14ac:dyDescent="0.3">
      <c r="A27" s="13" t="s">
        <v>79</v>
      </c>
      <c r="B27" s="13" t="s">
        <v>14</v>
      </c>
      <c r="C27" s="13" t="s">
        <v>80</v>
      </c>
      <c r="D27" s="13" t="s">
        <v>32</v>
      </c>
      <c r="E27" s="13" t="s">
        <v>12</v>
      </c>
      <c r="F27" s="13">
        <v>1120000</v>
      </c>
      <c r="G27" s="19">
        <v>1305000</v>
      </c>
    </row>
    <row r="28" spans="1:7" x14ac:dyDescent="0.3">
      <c r="A28" s="16" t="s">
        <v>82</v>
      </c>
      <c r="B28" s="16" t="s">
        <v>9</v>
      </c>
      <c r="C28" s="16" t="s">
        <v>83</v>
      </c>
      <c r="D28" s="16" t="s">
        <v>30</v>
      </c>
      <c r="E28" s="16" t="s">
        <v>12</v>
      </c>
      <c r="F28" s="16">
        <v>645000</v>
      </c>
      <c r="G28" s="18">
        <v>743000</v>
      </c>
    </row>
    <row r="29" spans="1:7" x14ac:dyDescent="0.3">
      <c r="A29" s="13" t="s">
        <v>84</v>
      </c>
      <c r="B29" s="13" t="s">
        <v>14</v>
      </c>
      <c r="C29" s="13" t="s">
        <v>83</v>
      </c>
      <c r="D29" s="13" t="s">
        <v>11</v>
      </c>
      <c r="E29" s="13" t="s">
        <v>12</v>
      </c>
      <c r="F29" s="13">
        <v>870000</v>
      </c>
      <c r="G29" s="19">
        <v>1002000</v>
      </c>
    </row>
    <row r="30" spans="1:7" x14ac:dyDescent="0.3">
      <c r="A30" s="16" t="s">
        <v>87</v>
      </c>
      <c r="B30" s="16" t="s">
        <v>9</v>
      </c>
      <c r="C30" s="16" t="s">
        <v>86</v>
      </c>
      <c r="D30" s="16" t="s">
        <v>37</v>
      </c>
      <c r="E30" s="16" t="s">
        <v>12</v>
      </c>
      <c r="F30" s="16">
        <v>1220000</v>
      </c>
      <c r="G30" s="18">
        <v>1388000</v>
      </c>
    </row>
    <row r="31" spans="1:7" x14ac:dyDescent="0.3">
      <c r="A31" s="13" t="s">
        <v>88</v>
      </c>
      <c r="B31" s="13" t="s">
        <v>14</v>
      </c>
      <c r="C31" s="13" t="s">
        <v>89</v>
      </c>
      <c r="D31" s="13" t="s">
        <v>27</v>
      </c>
      <c r="E31" s="13" t="s">
        <v>12</v>
      </c>
      <c r="F31" s="13">
        <v>735000</v>
      </c>
      <c r="G31" s="19">
        <v>847000</v>
      </c>
    </row>
    <row r="32" spans="1:7" x14ac:dyDescent="0.3">
      <c r="A32" s="16" t="s">
        <v>91</v>
      </c>
      <c r="B32" s="16" t="s">
        <v>9</v>
      </c>
      <c r="C32" s="16" t="s">
        <v>92</v>
      </c>
      <c r="D32" s="16" t="s">
        <v>24</v>
      </c>
      <c r="E32" s="16" t="s">
        <v>12</v>
      </c>
      <c r="F32" s="16">
        <v>1650000</v>
      </c>
      <c r="G32" s="18">
        <v>1935000</v>
      </c>
    </row>
    <row r="33" spans="1:7" x14ac:dyDescent="0.3">
      <c r="A33" s="13" t="s">
        <v>94</v>
      </c>
      <c r="B33" s="13" t="s">
        <v>17</v>
      </c>
      <c r="C33" s="13" t="s">
        <v>95</v>
      </c>
      <c r="D33" s="13" t="s">
        <v>32</v>
      </c>
      <c r="E33" s="13" t="s">
        <v>12</v>
      </c>
      <c r="F33" s="13">
        <v>1150000</v>
      </c>
      <c r="G33" s="19">
        <v>1340000</v>
      </c>
    </row>
    <row r="34" spans="1:7" x14ac:dyDescent="0.3">
      <c r="A34" s="16" t="s">
        <v>96</v>
      </c>
      <c r="B34" s="16" t="s">
        <v>9</v>
      </c>
      <c r="C34" s="16" t="s">
        <v>95</v>
      </c>
      <c r="D34" s="16" t="s">
        <v>41</v>
      </c>
      <c r="E34" s="16" t="s">
        <v>12</v>
      </c>
      <c r="F34" s="16">
        <v>1000000</v>
      </c>
      <c r="G34" s="18">
        <v>1138000</v>
      </c>
    </row>
    <row r="35" spans="1:7" x14ac:dyDescent="0.3">
      <c r="A35" s="13" t="s">
        <v>97</v>
      </c>
      <c r="B35" s="13" t="s">
        <v>14</v>
      </c>
      <c r="C35" s="13" t="s">
        <v>98</v>
      </c>
      <c r="D35" s="13" t="s">
        <v>30</v>
      </c>
      <c r="E35" s="13" t="s">
        <v>12</v>
      </c>
      <c r="F35" s="13">
        <v>660000</v>
      </c>
      <c r="G35" s="19">
        <v>760000</v>
      </c>
    </row>
    <row r="36" spans="1:7" x14ac:dyDescent="0.3">
      <c r="A36" s="16" t="s">
        <v>99</v>
      </c>
      <c r="B36" s="16" t="s">
        <v>9</v>
      </c>
      <c r="C36" s="16" t="s">
        <v>98</v>
      </c>
      <c r="D36" s="16" t="s">
        <v>11</v>
      </c>
      <c r="E36" s="16" t="s">
        <v>12</v>
      </c>
      <c r="F36" s="16">
        <v>880000</v>
      </c>
      <c r="G36" s="18">
        <v>1015000</v>
      </c>
    </row>
    <row r="37" spans="1:7" x14ac:dyDescent="0.3">
      <c r="A37" s="13"/>
      <c r="B37" s="13"/>
      <c r="C37" s="13"/>
      <c r="D37" s="13"/>
      <c r="E37" s="13"/>
      <c r="F37" s="13"/>
    </row>
  </sheetData>
  <conditionalFormatting sqref="B2:F37">
    <cfRule type="colorScale" priority="4">
      <colorScale>
        <cfvo type="min"/>
        <cfvo type="percentile" val="50"/>
        <cfvo type="max"/>
        <color rgb="FFF8696B"/>
        <color rgb="FFFCFCFF"/>
        <color rgb="FF63BE7B"/>
      </colorScale>
    </cfRule>
  </conditionalFormatting>
  <conditionalFormatting sqref="K3:L3 K4:K6">
    <cfRule type="dataBar" priority="1">
      <dataBar>
        <cfvo type="min"/>
        <cfvo type="max"/>
        <color rgb="FFD6007B"/>
      </dataBar>
      <extLst>
        <ext xmlns:x14="http://schemas.microsoft.com/office/spreadsheetml/2009/9/main" uri="{B025F937-C7B1-47D3-B67F-A62EFF666E3E}">
          <x14:id>{01F3874F-ED7D-4F95-AA5B-1154001B3F61}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1F3874F-ED7D-4F95-AA5B-1154001B3F61}">
            <x14:dataBar minLength="0" maxLength="100" border="1" negativeBarBorderColorSameAsPositive="0">
              <x14:cfvo type="autoMin"/>
              <x14:cfvo type="autoMax"/>
              <x14:borderColor rgb="FFD6007B"/>
              <x14:negativeFillColor rgb="FFFF0000"/>
              <x14:negativeBorderColor rgb="FFFF0000"/>
              <x14:axisColor rgb="FF000000"/>
            </x14:dataBar>
          </x14:cfRule>
          <xm:sqref>K3:L3 K4:K6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EA0C-F05D-46D0-BC4E-602015C48228}">
  <dimension ref="A1:C13"/>
  <sheetViews>
    <sheetView workbookViewId="0">
      <selection sqref="A1:B13"/>
    </sheetView>
  </sheetViews>
  <sheetFormatPr defaultRowHeight="14.4" x14ac:dyDescent="0.3"/>
  <cols>
    <col min="1" max="1" width="13.109375" bestFit="1" customWidth="1"/>
    <col min="2" max="2" width="18.44140625" bestFit="1" customWidth="1"/>
    <col min="3" max="3" width="28.33203125" bestFit="1" customWidth="1"/>
    <col min="4" max="4" width="16" bestFit="1" customWidth="1"/>
  </cols>
  <sheetData>
    <row r="1" spans="1:3" x14ac:dyDescent="0.3">
      <c r="A1" s="10" t="s">
        <v>106</v>
      </c>
      <c r="B1" t="s">
        <v>111</v>
      </c>
      <c r="C1" t="s">
        <v>130</v>
      </c>
    </row>
    <row r="2" spans="1:3" x14ac:dyDescent="0.3">
      <c r="A2" s="11" t="s">
        <v>27</v>
      </c>
      <c r="B2">
        <v>3585000</v>
      </c>
      <c r="C2">
        <v>550000</v>
      </c>
    </row>
    <row r="3" spans="1:3" x14ac:dyDescent="0.3">
      <c r="A3" s="11" t="s">
        <v>32</v>
      </c>
      <c r="B3">
        <v>5500000</v>
      </c>
      <c r="C3">
        <v>908000</v>
      </c>
    </row>
    <row r="4" spans="1:3" x14ac:dyDescent="0.3">
      <c r="A4" s="11" t="s">
        <v>21</v>
      </c>
      <c r="B4">
        <v>7500000</v>
      </c>
      <c r="C4">
        <v>1288000</v>
      </c>
    </row>
    <row r="5" spans="1:3" x14ac:dyDescent="0.3">
      <c r="A5" s="11" t="s">
        <v>11</v>
      </c>
      <c r="B5">
        <v>5000000</v>
      </c>
      <c r="C5">
        <v>764000</v>
      </c>
    </row>
    <row r="6" spans="1:3" x14ac:dyDescent="0.3">
      <c r="A6" s="11" t="s">
        <v>35</v>
      </c>
      <c r="B6">
        <v>5950000</v>
      </c>
      <c r="C6">
        <v>750000</v>
      </c>
    </row>
    <row r="7" spans="1:3" x14ac:dyDescent="0.3">
      <c r="A7" s="11" t="s">
        <v>15</v>
      </c>
      <c r="B7">
        <v>3255000</v>
      </c>
      <c r="C7">
        <v>498000</v>
      </c>
    </row>
    <row r="8" spans="1:3" x14ac:dyDescent="0.3">
      <c r="A8" s="11" t="s">
        <v>37</v>
      </c>
      <c r="B8">
        <v>4750000</v>
      </c>
      <c r="C8">
        <v>648000</v>
      </c>
    </row>
    <row r="9" spans="1:3" x14ac:dyDescent="0.3">
      <c r="A9" s="11" t="s">
        <v>24</v>
      </c>
      <c r="B9">
        <v>8000000</v>
      </c>
      <c r="C9">
        <v>1388000</v>
      </c>
    </row>
    <row r="10" spans="1:3" x14ac:dyDescent="0.3">
      <c r="A10" s="11" t="s">
        <v>19</v>
      </c>
      <c r="B10">
        <v>1610000</v>
      </c>
      <c r="C10">
        <v>250000</v>
      </c>
    </row>
    <row r="11" spans="1:3" x14ac:dyDescent="0.3">
      <c r="A11" s="11" t="s">
        <v>41</v>
      </c>
      <c r="B11">
        <v>2930000</v>
      </c>
      <c r="C11">
        <v>403000</v>
      </c>
    </row>
    <row r="12" spans="1:3" x14ac:dyDescent="0.3">
      <c r="A12" s="11" t="s">
        <v>30</v>
      </c>
      <c r="B12">
        <v>3170000</v>
      </c>
      <c r="C12">
        <v>475000</v>
      </c>
    </row>
    <row r="13" spans="1:3" x14ac:dyDescent="0.3">
      <c r="A13" s="11" t="s">
        <v>107</v>
      </c>
      <c r="B13">
        <v>51250000</v>
      </c>
      <c r="C13">
        <v>7922000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Data_Sheet</vt:lpstr>
      <vt:lpstr>Dashboard</vt:lpstr>
      <vt:lpstr>Sale_analysis</vt:lpstr>
      <vt:lpstr>City_category</vt:lpstr>
      <vt:lpstr>Model wise Analysis</vt:lpstr>
      <vt:lpstr>city_wise_analysis</vt:lpstr>
      <vt:lpstr>Delivered pivot</vt:lpstr>
      <vt:lpstr>Sale_Report_Delivered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Tandrima Nandy</dc:creator>
  <cp:lastModifiedBy>Tandrima Nandy</cp:lastModifiedBy>
  <dcterms:created xsi:type="dcterms:W3CDTF">2026-08-26T08:32:49Z</dcterms:created>
  <dcterms:modified xsi:type="dcterms:W3CDTF">2026-08-28T14:46:54Z</dcterms:modified>
</cp:coreProperties>
</file>